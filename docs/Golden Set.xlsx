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category Scores" sheetId="1" r:id="rId4"/>
    <sheet state="visible" name="Category Rollup" sheetId="2" r:id="rId5"/>
    <sheet state="visible" name="Function Summary (Tier Rollup)" sheetId="3" r:id="rId6"/>
  </sheets>
  <definedNames>
    <definedName hidden="1" localSheetId="0" name="_xlnm._FilterDatabase">'Subcategory Scores'!$D$1:$I$107</definedName>
  </definedNames>
  <calcPr/>
  <extLst>
    <ext uri="GoogleSheetsCustomDataVersion2">
      <go:sheetsCustomData xmlns:go="http://customooxmlschemas.google.com/" r:id="rId7" roundtripDataChecksum="9IJ2Qq/HbAhmdM1xpGOecp1rSIoVcrSpTOPWxBtwwE4="/>
    </ext>
  </extLst>
</workbook>
</file>

<file path=xl/sharedStrings.xml><?xml version="1.0" encoding="utf-8"?>
<sst xmlns="http://schemas.openxmlformats.org/spreadsheetml/2006/main" count="864" uniqueCount="468">
  <si>
    <t>Function</t>
  </si>
  <si>
    <t>CSF Function</t>
  </si>
  <si>
    <t>Category ID</t>
  </si>
  <si>
    <t>Category Name</t>
  </si>
  <si>
    <t>Category Avg CMMI (formula)</t>
  </si>
  <si>
    <t>Subcategory Count</t>
  </si>
  <si>
    <t>Function Avg CMMI (formula)</t>
  </si>
  <si>
    <t>Subcategory ID</t>
  </si>
  <si>
    <t>Govern</t>
  </si>
  <si>
    <t>Subcategory Outcome (NIST CSF 2.0)</t>
  </si>
  <si>
    <t>Target CMMI (expert-set)</t>
  </si>
  <si>
    <t>CMMI Score (1-5)</t>
  </si>
  <si>
    <t>Controls In Place (Northwind)</t>
  </si>
  <si>
    <t>GV.OC</t>
  </si>
  <si>
    <t>Rolled-Up CSF Tier (formula)</t>
  </si>
  <si>
    <t>Organizational Context</t>
  </si>
  <si>
    <t>Primary Evidence Document</t>
  </si>
  <si>
    <t>Residual Client Question</t>
  </si>
  <si>
    <t>GV.OC-01</t>
  </si>
  <si>
    <t>The organizational mission is understood and informs cybersecurity risk management</t>
  </si>
  <si>
    <t>Cybersecurity risk management is explicitly referenced in Northwind's group strategy documents and board-level risk appetite statement, linking cyber risk to the retail banking and general insurance business plans.</t>
  </si>
  <si>
    <t>Group Risk Management Strategy</t>
  </si>
  <si>
    <t>GV.OC-02</t>
  </si>
  <si>
    <t>Internal and external stakeholders are understood, and their needs and expectations regarding cybersecurity risk management are understood and considered</t>
  </si>
  <si>
    <t>Stakeholder needs (retail and insurance customers, PRA, FCA, regulators, shareholders) are catalogued in a stakeholder register reviewed annually by the Compliance Officer.</t>
  </si>
  <si>
    <t>Stakeholder Register / Info Sec Policy intro</t>
  </si>
  <si>
    <t>GV.OC-03</t>
  </si>
  <si>
    <t>Legal, regulatory, and contractual requirements regarding cybersecurity — including privacy and civil liberties obligations — are understood and managed</t>
  </si>
  <si>
    <t>The Compliance Officer maintains a documented, dated inventory of applicable regulatory requirements (UK GDPR, PRA/FCA Operational Resilience, SYSC 8/13, SM&amp;CR); no formal line-item mapping exists yet from each requirement to a specific internal control.</t>
  </si>
  <si>
    <t>Regulatory Requirements Register</t>
  </si>
  <si>
    <t>Can you show a mapping from a specific PRA/FCA requirement to an internal control?</t>
  </si>
  <si>
    <t>GV.OC-04</t>
  </si>
  <si>
    <t>Critical objectives, capabilities, and services that external stakeholders depend on or expect from the organization are understood and communicated</t>
  </si>
  <si>
    <t>Critical services relied upon by customers and regulators (current accounts, claims processing) are documented in the Operational Resilience 'important business services' register.</t>
  </si>
  <si>
    <t>Operational Resilience Policy / Important Business Services Register</t>
  </si>
  <si>
    <t>GV.OC-05</t>
  </si>
  <si>
    <t>Outcomes, capabilities, and services that the organization depends on are understood and communicated</t>
  </si>
  <si>
    <t>Dependencies on the legacy core banking platform and the SaaS insurance platform are documented as part of the important business services mapping.</t>
  </si>
  <si>
    <t>Operational Resilience Policy</t>
  </si>
  <si>
    <t>GV.RM</t>
  </si>
  <si>
    <t>Risk Management Strategy</t>
  </si>
  <si>
    <t>GV.RM-01</t>
  </si>
  <si>
    <t>Risk management objectives are established and agreed to by organizational stakeholders</t>
  </si>
  <si>
    <t>Risk management objectives are agreed annually by the Board Risk Committee and cascaded to BU heads.</t>
  </si>
  <si>
    <t>GV.RM-02</t>
  </si>
  <si>
    <t>Risk appetite and risk tolerance statements are established, communicated, and maintained</t>
  </si>
  <si>
    <t>Risk appetite and tolerance statements exist and are reviewed annually, though tolerance is expressed qualitatively rather than against quantified impact tolerances for all important business services.</t>
  </si>
  <si>
    <t>Risk Appetite Statement</t>
  </si>
  <si>
    <t>GV.RM-03</t>
  </si>
  <si>
    <t>Cybersecurity risk management activities and outcomes are included in enterprise risk management processes</t>
  </si>
  <si>
    <t>Cyber risk is a standing line item in the enterprise risk register reviewed by the Board Risk Committee.</t>
  </si>
  <si>
    <t>Enterprise Risk Register</t>
  </si>
  <si>
    <t>GV.RR</t>
  </si>
  <si>
    <t>GV.RM-04</t>
  </si>
  <si>
    <t>Roles, Responsibilities, and Authorities</t>
  </si>
  <si>
    <t>Strategic direction that describes appropriate risk response options is established and communicated</t>
  </si>
  <si>
    <t>Strategic risk response options (accept/mitigate/transfer/avoid) are documented in the risk management strategy and applied by the Compliance Officer and CISO.</t>
  </si>
  <si>
    <t>GV.RM-05</t>
  </si>
  <si>
    <t>Lines of communication across the organization are established for cybersecurity risks, including risks from suppliers and other third parties</t>
  </si>
  <si>
    <t>Lines of communication for cyber risk, including supplier-originated risk, run through the CISO to the Board Risk Committee.</t>
  </si>
  <si>
    <t>Governance / Escalation Chart</t>
  </si>
  <si>
    <t>GV.RM-06</t>
  </si>
  <si>
    <t>A standardized method for calculating, documenting, categorizing, and prioritizing cybersecurity risks is established and communicated</t>
  </si>
  <si>
    <t>A standardised risk scoring methodology (likelihood x impact matrix) is documented and applied consistently across BUs.</t>
  </si>
  <si>
    <t>Note: A few judgment calls worth flagging
PR.AA-05 is the anchor for your MFA hook, scored 1, explicitly tied to the incident log. Everything else was built to be consistent with that story rather than random — weak backup testing (PR.DS-11), thin post-incident closure criteria (RC.RP-04/06), and informal public comms during recovery (RC.CO-04) all reinforce the "policies and alarms exist, follow-through doesn't" narrative alongside Respond/Recover's flatter scores.
GV.SC (supply chain) is Govern's weakest category (avg 2.5 against a function average of 3.0) — I used this to add texture to an otherwise strong Govern score, since outsourcing oversight is a very plausible soft spot even in a well-governed firm, and it gives you a natural GV.SC-08/09/10 drill-down for the demo.
~35 residual client questions is close to your "60-70 question bank" target once you add questions for the ~70 subcategories that don't have a gap (a shorter confirmatory question, or none at all if the document evidence is airtight) — you may not need a question for every one of the 106.</t>
  </si>
  <si>
    <t>Risk Management Strategy / Risk Register methodology appendix</t>
  </si>
  <si>
    <t>GV.PO</t>
  </si>
  <si>
    <t>Policy</t>
  </si>
  <si>
    <t>GV.RM-07</t>
  </si>
  <si>
    <t>Strategic opportunities (i.e., positive risks) are characterized and are included in organizational cybersecurity risk discussions</t>
  </si>
  <si>
    <t>Positive/strategic opportunities are noted qualitatively in risk committee papers but not yet tracked as a discrete category alongside negative risk.</t>
  </si>
  <si>
    <t>Board Risk Committee minutes</t>
  </si>
  <si>
    <t>GV.RR-01</t>
  </si>
  <si>
    <t>Organizational leadership is responsible and accountable for cybersecurity risk and fosters a culture that is risk-aware, ethical, and continually improving</t>
  </si>
  <si>
    <t>GV.OV</t>
  </si>
  <si>
    <t>Oversight</t>
  </si>
  <si>
    <t>GV.SC</t>
  </si>
  <si>
    <t>Cybersecurity Supply Chain Risk Management</t>
  </si>
  <si>
    <t>Under SM&amp;CR, the CISO holds a Senior Manager Function with personal statutory accountability for cyber risk, formally recorded in the Statement of Responsibilities and reinforced through board-level tone-from-the-top messaging.</t>
  </si>
  <si>
    <t>SM&amp;CR Statement of Responsibilities</t>
  </si>
  <si>
    <t>GV.RR-02</t>
  </si>
  <si>
    <t>Roles, responsibilities, and authorities related to cybersecurity risk management are established, communicated, understood, and enforced</t>
  </si>
  <si>
    <t>Cybersecurity roles and responsibilities are documented in the Info Sec Policy and RACI matrix, communicated to all BU heads, and enforced through job descriptions.</t>
  </si>
  <si>
    <t>Info Sec Policy / RACI Matrix</t>
  </si>
  <si>
    <t>Identify</t>
  </si>
  <si>
    <t>GV.RR-03</t>
  </si>
  <si>
    <t>ID.AM</t>
  </si>
  <si>
    <t>Adequate resources are allocated commensurate with the cybersecurity risk strategy, roles, responsibilities, and policies</t>
  </si>
  <si>
    <t>Asset Management</t>
  </si>
  <si>
    <t>Cybersecurity budget and headcount are allocated annually against the risk strategy, though resourcing for the legacy core banking security function is comparatively thin versus the newer insurance platform team.</t>
  </si>
  <si>
    <t>Annual Budget Papers</t>
  </si>
  <si>
    <t>Doesn't look too important for an evidence- can skip, may affect the maturity of the control but should be ok</t>
  </si>
  <si>
    <t>ID.RA</t>
  </si>
  <si>
    <t>Risk Assessment</t>
  </si>
  <si>
    <t>GV.RR-04</t>
  </si>
  <si>
    <t>Cybersecurity is included in human resources practices</t>
  </si>
  <si>
    <t>Cybersecurity responsibilities are included in job descriptions and onboarding/offboarding checklists managed by HR.</t>
  </si>
  <si>
    <t>HR Security Policy</t>
  </si>
  <si>
    <t>ID.IM</t>
  </si>
  <si>
    <t>Improvement</t>
  </si>
  <si>
    <t>GV.PO-01</t>
  </si>
  <si>
    <t>Policy for managing cybersecurity risks is established based on organizational context, cybersecurity strategy, and priorities and is communicated and enforced</t>
  </si>
  <si>
    <t>A Board-approved Information Security Policy establishes cybersecurity policy based on organisational context and strategy, communicated to all staff and enforced through the disciplinary policy.</t>
  </si>
  <si>
    <t>Info Sec Policy</t>
  </si>
  <si>
    <t>Protect</t>
  </si>
  <si>
    <t>GV.PO-02</t>
  </si>
  <si>
    <t>Policy for managing cybersecurity risks is reviewed, updated, communicated, and enforced to reflect changes in requirements, threats, technology, and organizational mission</t>
  </si>
  <si>
    <t>Policy review is scheduled annually, though the most recent Info Sec Policy review lags roughly six months behind the stated cadence.</t>
  </si>
  <si>
    <t>Info Sec Policy version history</t>
  </si>
  <si>
    <t>PR.AA</t>
  </si>
  <si>
    <t>Identity Management, Authentication, and Access Control</t>
  </si>
  <si>
    <t>GV.OV-01</t>
  </si>
  <si>
    <t>Cybersecurity risk management strategy outcomes are reviewed to inform and adjust strategy and direction</t>
  </si>
  <si>
    <t>Cyber risk management outcomes are reported to the Board Risk Committee quarterly and used to adjust the risk strategy.</t>
  </si>
  <si>
    <t>Board Risk Committee papers</t>
  </si>
  <si>
    <t>GV.OV-02</t>
  </si>
  <si>
    <t>The cybersecurity risk management strategy is reviewed and adjusted to ensure coverage of organizational requirements and risks</t>
  </si>
  <si>
    <t>PR.AT</t>
  </si>
  <si>
    <t>Awareness and Training</t>
  </si>
  <si>
    <t>The risk management strategy is reviewed annually against emerging requirements, including Operational Resilience impact tolerance testing results.</t>
  </si>
  <si>
    <t>Risk Management Strategy review log</t>
  </si>
  <si>
    <t>Detect</t>
  </si>
  <si>
    <t>GV.OV-03</t>
  </si>
  <si>
    <t>Organizational cybersecurity risk management performance is evaluated and reviewed for adjustments needed</t>
  </si>
  <si>
    <t>Cybersecurity programme performance is evaluated annually via an internal audit review, though findings-closure tracking is informal.</t>
  </si>
  <si>
    <t>Internal Audit Report</t>
  </si>
  <si>
    <t>PR.DS</t>
  </si>
  <si>
    <t>Data Security</t>
  </si>
  <si>
    <t>GV.SC-01</t>
  </si>
  <si>
    <t>A cybersecurity supply chain risk management program, strategy, objectives, policies, and processes are established and agreed to by organizational stakeholders</t>
  </si>
  <si>
    <t>A documented cyber supply chain risk management programme and policy exist and are agreed by BU heads.</t>
  </si>
  <si>
    <t>Vendor Risk Management Policy</t>
  </si>
  <si>
    <t>GV.SC-02</t>
  </si>
  <si>
    <t>Cybersecurity roles and responsibilities for suppliers, customers, and partners are established, communicated, and coordinated internally and externally</t>
  </si>
  <si>
    <t>PR.PS</t>
  </si>
  <si>
    <t>Platform Security</t>
  </si>
  <si>
    <t>Cybersecurity roles for suppliers, including the core banking hosting provider and the SaaS insurance vendor, are defined in the Vendor Risk Management Policy.</t>
  </si>
  <si>
    <t>GV.SC-03</t>
  </si>
  <si>
    <t>Respond</t>
  </si>
  <si>
    <t>Cybersecurity supply chain risk management is integrated into cybersecurity and enterprise risk management, risk assessment, and improvement processes</t>
  </si>
  <si>
    <t>Supply chain risk is integrated into the enterprise risk register as a distinct risk category.</t>
  </si>
  <si>
    <t>GV.SC-04</t>
  </si>
  <si>
    <t>Suppliers are known and prioritized by criticality</t>
  </si>
  <si>
    <t>Suppliers are catalogued and tiered by criticality in the vendor list (10 vendors, criticality-tiered).</t>
  </si>
  <si>
    <t>PR.IR</t>
  </si>
  <si>
    <t>Vendor List</t>
  </si>
  <si>
    <t>Technology Infrastructure Resilience</t>
  </si>
  <si>
    <t>GV.SC-05</t>
  </si>
  <si>
    <t>Requirements to address cybersecurity risks in supply chains are established, prioritized, and integrated into contracts and other types of agreements with suppliers and other relevant third parties</t>
  </si>
  <si>
    <t>Cybersecurity clauses are built into standard contract templates for new supplier agreements.</t>
  </si>
  <si>
    <t>Standard Supplier Contract Template</t>
  </si>
  <si>
    <t>GV.SC-06</t>
  </si>
  <si>
    <t>Planning and due diligence are performed to reduce risks before entering into formal supplier or other third-party relationships</t>
  </si>
  <si>
    <t>Due diligence questionnaires are completed for new critical suppliers before onboarding.</t>
  </si>
  <si>
    <t>DE.CM</t>
  </si>
  <si>
    <t>Supplier Due Diligence Questionnaire</t>
  </si>
  <si>
    <t>Continuous Monitoring</t>
  </si>
  <si>
    <t>Recover</t>
  </si>
  <si>
    <t>GV.SC-07</t>
  </si>
  <si>
    <t>The risks posed by a supplier, their products and services, and other third parties are understood, recorded, prioritized, assessed, responded to, and monitored over the course of the relationship</t>
  </si>
  <si>
    <t>Ongoing supplier risk is recorded and reviewed annually for critical-tier vendors, though non-critical vendors are reviewed on an ad hoc basis.</t>
  </si>
  <si>
    <t>Vendor List / Vendor Review Log</t>
  </si>
  <si>
    <t>GV.SC-08</t>
  </si>
  <si>
    <t>Relevant suppliers and other third parties are included in incident planning, response, and recovery activities</t>
  </si>
  <si>
    <t>DE.AE</t>
  </si>
  <si>
    <t>Adverse Event Analysis</t>
  </si>
  <si>
    <t>Critical suppliers are named in vendor contracts but are not formally included in incident response or recovery plan testing exercises.</t>
  </si>
  <si>
    <t>IR Plan (gap noted)</t>
  </si>
  <si>
    <t>Are suppliers, e.g. the core banking hosting provider, included in any incident response tabletop exercises?</t>
  </si>
  <si>
    <t>GV.SC-09</t>
  </si>
  <si>
    <t>RS.MA</t>
  </si>
  <si>
    <t>Incident Management</t>
  </si>
  <si>
    <t>Supply chain security practices are integrated into cybersecurity and enterprise risk management programs, and their performance is monitored throughout the technology product and service life cycle</t>
  </si>
  <si>
    <t>Supply chain security expectations are set at contract signing but ongoing performance against them is not systematically monitored through the vendor lifecycle.</t>
  </si>
  <si>
    <t>How is supplier security performance monitored after contract signature, if at all?</t>
  </si>
  <si>
    <t>Org-wide (all 6 Functions)</t>
  </si>
  <si>
    <t>GV.SC-10</t>
  </si>
  <si>
    <t>Cybersecurity supply chain risk management plans include provisions for activities that occur after the conclusion of a partnership or service agreement</t>
  </si>
  <si>
    <t>Contracts do not consistently include provisions covering data return, deletion, or access revocation at the end of a supplier relationship.</t>
  </si>
  <si>
    <t>What happens to data access and return obligations when a supplier relationship ends?</t>
  </si>
  <si>
    <t>RS.AN</t>
  </si>
  <si>
    <t>Incident Analysis</t>
  </si>
  <si>
    <t>ID.AM-01</t>
  </si>
  <si>
    <t>Inventories of hardware managed by the organization are maintained</t>
  </si>
  <si>
    <t>Hardware inventory for the legacy core banking estate is well-maintained via the IT asset management system; general insurance SaaS platform hardware is out of scope since it is vendor-hosted.</t>
  </si>
  <si>
    <t>Asset Inventory (10-20 rows)</t>
  </si>
  <si>
    <t>ID.AM-02</t>
  </si>
  <si>
    <t>Inventories of software, services, and systems managed by the organization are maintained</t>
  </si>
  <si>
    <t>Software, services and systems are inventoried, but the SaaS insurance platform's underlying service dependencies are not fully catalogued.</t>
  </si>
  <si>
    <t>Asset Inventory</t>
  </si>
  <si>
    <t>Is there a software/service inventory covering the SaaS insurance platform's dependencies?</t>
  </si>
  <si>
    <t>RS.CO</t>
  </si>
  <si>
    <t>Incident Response Reporting and Communication</t>
  </si>
  <si>
    <t>ID.AM-03</t>
  </si>
  <si>
    <t>Representations of the organization's authorized network communication and internal and external network data flows are maintained</t>
  </si>
  <si>
    <t>Network diagrams exist for the on-prem core banking environment; data flows to and from the SaaS insurance platform are not formally mapped.</t>
  </si>
  <si>
    <t>Network Architecture Diagram</t>
  </si>
  <si>
    <t>Is there a data flow diagram covering traffic between core banking and the SaaS insurance platform?</t>
  </si>
  <si>
    <t>ID.AM-04</t>
  </si>
  <si>
    <t>Inventories of services provided by suppliers are maintained</t>
  </si>
  <si>
    <t>Supplier-provided services are listed in the vendor list but not cross-referenced against the asset inventory.</t>
  </si>
  <si>
    <t>RS.MI</t>
  </si>
  <si>
    <t>ID.AM-05</t>
  </si>
  <si>
    <t>Incident Mitigation</t>
  </si>
  <si>
    <t>Assets are prioritized based on classification, criticality, resources, and impact on the mission</t>
  </si>
  <si>
    <t>Assets are classified by criticality in the asset inventory, though the classification scheme is applied inconsistently between BUs.</t>
  </si>
  <si>
    <t>Asset Inventory / Data Classification Policy</t>
  </si>
  <si>
    <t>ID.AM-07</t>
  </si>
  <si>
    <t>Inventories of data and corresponding metadata for designated data types are maintained</t>
  </si>
  <si>
    <t>A data inventory exists for regulated customer data categories, but metadata (retention period, classification, owner) is incomplete for a portion of records.</t>
  </si>
  <si>
    <t>Data Classification Policy</t>
  </si>
  <si>
    <t>RC.RP</t>
  </si>
  <si>
    <t>Incident Recovery Plan Execution</t>
  </si>
  <si>
    <t>ID.AM-08</t>
  </si>
  <si>
    <t>Systems, hardware, software, services, and data are managed throughout their life cycles</t>
  </si>
  <si>
    <t>Asset lifecycle management (decommissioning, disposal) is performed but not tracked centrally; the legacy core banking platform in particular lacks a documented end-of-life roadmap.</t>
  </si>
  <si>
    <t>Is there a documented lifecycle/decommissioning plan for the core banking platform?</t>
  </si>
  <si>
    <t>ID.RA-01</t>
  </si>
  <si>
    <t>Vulnerabilities in assets are identified, validated, and recorded</t>
  </si>
  <si>
    <t>Vulnerability scanning is performed on the core banking estate and validated findings are recorded in a vulnerability tracker; coverage of the SaaS insurance platform relies on the vendor's own disclosures.</t>
  </si>
  <si>
    <t>Vuln Mgmt Standard</t>
  </si>
  <si>
    <t>RC.CO</t>
  </si>
  <si>
    <t>Incident Recovery Communication</t>
  </si>
  <si>
    <t>ID.RA-02</t>
  </si>
  <si>
    <t>Cyber threat intelligence is received from information sharing forums and sources</t>
  </si>
  <si>
    <t>Threat intelligence feeds are subscribed to but consumption is informal, without a documented process for triage.</t>
  </si>
  <si>
    <t>ID.RA-03</t>
  </si>
  <si>
    <t>Internal and external threats to the organization are identified and recorded</t>
  </si>
  <si>
    <t>Internal and external threats are recorded in the risk register, refreshed annually rather than continuously.</t>
  </si>
  <si>
    <t>Risk Register</t>
  </si>
  <si>
    <t>ID.RA-04</t>
  </si>
  <si>
    <t>Potential impacts and likelihoods of threats exploiting vulnerabilities are identified and recorded</t>
  </si>
  <si>
    <t>Note: CMMI scores in 'Subcategory Scores' are demo ground-truth assumptions (internal, not derived from real evidence). Tier is computed from the locked aggregation rule: 1.0-1.9=Tier 1, 2.0-2.9=Tier 2, 3.0-3.9=Tier 3, 4.0-5.0=Tier 4.</t>
  </si>
  <si>
    <t>Impact and likelihood of identified threats are scored using the standard risk matrix.</t>
  </si>
  <si>
    <t>ID.RA-05</t>
  </si>
  <si>
    <t>Threats, vulnerabilities, likelihoods, and impacts are used to understand inherent risk and inform risk response prioritization</t>
  </si>
  <si>
    <t>Risk scores inform prioritisation of remediation, though the linkage between risk register entries and the actual remediation backlog is manual.</t>
  </si>
  <si>
    <t>ID.RA-06</t>
  </si>
  <si>
    <t>Risk responses are chosen, prioritized, planned, tracked, and communicated</t>
  </si>
  <si>
    <t>Risk responses are tracked in the risk register with an owner and target date, though target dates slip without formal escalation.</t>
  </si>
  <si>
    <t>ID.RA-07</t>
  </si>
  <si>
    <t>Changes and exceptions are managed, assessed for risk impact, recorded, and tracked</t>
  </si>
  <si>
    <t>Changes are assessed for risk impact through a change advisory board process for the core banking platform; SaaS platform changes are managed by the vendor with limited Northwind visibility.</t>
  </si>
  <si>
    <t>Change Management Policy</t>
  </si>
  <si>
    <t>What visibility does Northwind have into the SaaS vendor's own change risk assessments?</t>
  </si>
  <si>
    <t>ID.RA-08</t>
  </si>
  <si>
    <t>Processes for receiving, analyzing, and responding to vulnerability disclosures are established</t>
  </si>
  <si>
    <t>There is no formally documented process for receiving and triaging external vulnerability disclosures (e.g., a responsible disclosure policy).</t>
  </si>
  <si>
    <t>None identified</t>
  </si>
  <si>
    <t>Is there any process for external researchers or partners to report a vulnerability?</t>
  </si>
  <si>
    <t>ID.RA-09</t>
  </si>
  <si>
    <t>The authenticity and integrity of hardware and software are assessed prior to acquisition and use</t>
  </si>
  <si>
    <t>Hardware/software authenticity is checked for core banking procurements via approved supplier lists, though this is not formally documented as a pre-acquisition control.</t>
  </si>
  <si>
    <t>ID.RA-10</t>
  </si>
  <si>
    <t>Critical suppliers are assessed prior to acquisition</t>
  </si>
  <si>
    <t>Critical suppliers undergo a due diligence assessment prior to onboarding, per the Vendor Risk Management Policy.</t>
  </si>
  <si>
    <t>ID.IM-01</t>
  </si>
  <si>
    <t>Improvements are identified from evaluations</t>
  </si>
  <si>
    <t>Improvement actions are identified from internal audit and risk assessment findings and logged, though closure tracking is inconsistent.</t>
  </si>
  <si>
    <t>ID.IM-02</t>
  </si>
  <si>
    <t>Improvements are identified from security tests and exercises, including those done in coordination with suppliers and relevant third parties</t>
  </si>
  <si>
    <t>Lessons from the one documented incident six months ago fed into a post-incident review, but no regular testing/exercise cadence (e.g., annual tabletop) is yet established.</t>
  </si>
  <si>
    <t>Incident Log / Post-Incident Review</t>
  </si>
  <si>
    <t>ID.IM-03</t>
  </si>
  <si>
    <t>Improvements are identified from execution of operational processes, procedures, and activities</t>
  </si>
  <si>
    <t>Operational process improvements are identified informally by BU heads but not systematically logged as a continuous improvement register.</t>
  </si>
  <si>
    <t>None identified — informal only</t>
  </si>
  <si>
    <t>ID.IM-04</t>
  </si>
  <si>
    <t>Incident response plans and other cybersecurity plans that affect operations are established, communicated, maintained, and improved</t>
  </si>
  <si>
    <t>An Incident Response Plan exists and is reviewed periodically, though the plan is acknowledged internally to be underdeveloped for the recovery phase.</t>
  </si>
  <si>
    <t>IR Plan (intentionally weak)</t>
  </si>
  <si>
    <t>PR.AA-01</t>
  </si>
  <si>
    <t>Identities and credentials for authorized users, services, and hardware are managed by the organization</t>
  </si>
  <si>
    <t>Identity and credential management is handled through Active Directory for core banking and a separate identity store for the SaaS insurance platform, without a single unified identity governance process.</t>
  </si>
  <si>
    <t>Access Control Policy</t>
  </si>
  <si>
    <t>Is there a plan to unify identity management across the two platforms?</t>
  </si>
  <si>
    <t>PR.AA-02</t>
  </si>
  <si>
    <t>Identities are proofed and bound to credentials based on the context of interactions</t>
  </si>
  <si>
    <t>Identity proofing occurs at joiner stage via HR verification, but is not risk-tiered by role sensitivity.</t>
  </si>
  <si>
    <t>PR.AA-03</t>
  </si>
  <si>
    <t>Users, services, and hardware are authenticated</t>
  </si>
  <si>
    <t>Standard user authentication (username/password, some MFA) is enforced for general staff access; MFA is not consistently enforced for privileged/administrative accounts on the legacy core banking platform.</t>
  </si>
  <si>
    <t>Confirm current MFA enforcement status for privileged accounts on core banking.</t>
  </si>
  <si>
    <t>PR.AA-04</t>
  </si>
  <si>
    <t>Identity assertions are protected, conveyed, and verified</t>
  </si>
  <si>
    <t>Identity assertions (SSO tokens) are used for the SaaS insurance platform, but session/token protections on the legacy core banking platform rely on older protocols.</t>
  </si>
  <si>
    <t>PR.AA-05</t>
  </si>
  <si>
    <t>Access permissions, entitlements, and authorizations are defined in a policy, managed, enforced, and reviewed, and incorporate the principles of least privilege and separation of duties</t>
  </si>
  <si>
    <t>Access permissions and least-privilege principles are defined in policy, but privileged accounts on the legacy core banking platform are not required to use multi-factor authentication, and periodic access reviews are not consistently performed. This is the confirmed control gap behind the incident logged six months ago.</t>
  </si>
  <si>
    <t>Access Control Policy / Incident Log</t>
  </si>
  <si>
    <t>Walk us through why MFA was not enforced for privileged core banking accounts, and what compensating controls, if any, were in place.</t>
  </si>
  <si>
    <t>PR.AA-06</t>
  </si>
  <si>
    <t>Physical access to assets is managed, monitored, and enforced commensurate with risk</t>
  </si>
  <si>
    <t>Physical access to head office and regional service centres is managed via badge access and visitor logs, reviewed quarterly by Operations.</t>
  </si>
  <si>
    <t>Physical Security Policy</t>
  </si>
  <si>
    <t>PR.AT-01</t>
  </si>
  <si>
    <t>Personnel are provided with awareness and training so that they possess the knowledge and skills to perform general tasks with cybersecurity risks in mind</t>
  </si>
  <si>
    <t>General cybersecurity awareness training is mandatory annually for all staff and tracked to completion via the HR learning management system.</t>
  </si>
  <si>
    <t>Training Completion Records</t>
  </si>
  <si>
    <t>Doesn't look too important for an evidence- can skip, most probably will not affect the maturity of the control but should be ok</t>
  </si>
  <si>
    <t>PR.AT-02</t>
  </si>
  <si>
    <t>Individuals in specialized roles are provided with awareness and training so that they possess the knowledge and skills to perform relevant tasks with cybersecurity risks in mind</t>
  </si>
  <si>
    <t>Specialised training exists for IT/security staff but is not formally mapped to role-specific risk (e.g., privileged access holders) or refreshed on a defined cadence.</t>
  </si>
  <si>
    <t>PR.DS-01</t>
  </si>
  <si>
    <t>The confidentiality, integrity, and availability of data-at-rest are protected</t>
  </si>
  <si>
    <t>Data-at-rest encryption is applied to the SaaS insurance platform by the vendor; encryption coverage on the legacy core banking database is partial.</t>
  </si>
  <si>
    <t>Which core banking data stores are not currently encrypted at rest, and why?</t>
  </si>
  <si>
    <t>PR.DS-02</t>
  </si>
  <si>
    <t>The confidentiality, integrity, and availability of data-in-transit are protected</t>
  </si>
  <si>
    <t>Data-in-transit is encrypted for customer-facing channels; some internal service-to-service traffic on the legacy platform is unencrypted.</t>
  </si>
  <si>
    <t>PR.DS-10</t>
  </si>
  <si>
    <t>The confidentiality, integrity, and availability of data-in-use are protected</t>
  </si>
  <si>
    <t>Protections for data-in-use (e.g., memory protections, secure enclaves) are not formally addressed in policy or architecture.</t>
  </si>
  <si>
    <t>Has data-in-use protection been assessed for the core banking platform?</t>
  </si>
  <si>
    <t>PR.DS-11</t>
  </si>
  <si>
    <t>Backups of data are created, protected, maintained, and tested</t>
  </si>
  <si>
    <t>Backups are taken for core banking and insurance platform data, but restoration testing is infrequent and not evidenced on a defined schedule.</t>
  </si>
  <si>
    <t>BCP / Backup Policy</t>
  </si>
  <si>
    <t>When was the most recent backup restoration test, and what was the outcome?</t>
  </si>
  <si>
    <t>PR.PS-01</t>
  </si>
  <si>
    <t>Configuration management practices are established and applied</t>
  </si>
  <si>
    <t>Configuration baselines exist for core banking servers but are not consistently enforced via automated configuration management tooling.</t>
  </si>
  <si>
    <t>Configuration Management Standard</t>
  </si>
  <si>
    <t>PR.PS-02</t>
  </si>
  <si>
    <t>Software is maintained, replaced, and removed commensurate with risk</t>
  </si>
  <si>
    <t>Software patching follows a defined cycle for the core banking platform, though patch SLAs are missed for a meaningful share of medium-severity findings.</t>
  </si>
  <si>
    <t>PR.PS-03</t>
  </si>
  <si>
    <t>Hardware is maintained, replaced, and removed commensurate with risk</t>
  </si>
  <si>
    <t>Hardware refresh is planned but the core banking platform includes components past standard vendor support life.</t>
  </si>
  <si>
    <t>PR.PS-04</t>
  </si>
  <si>
    <t>Log records are generated and made available for continuous monitoring</t>
  </si>
  <si>
    <t>Log records are generated across core systems and forwarded to a central logging platform, though retention and coverage on the SaaS insurance side is vendor-dependent and not independently verified.</t>
  </si>
  <si>
    <t>Logging &amp; Monitoring Standard</t>
  </si>
  <si>
    <t>PR.PS-05</t>
  </si>
  <si>
    <t>Installation and execution of unauthorized software are prevented</t>
  </si>
  <si>
    <t>Application allow-listing is applied to core banking servers but not extended to end-user workstations.</t>
  </si>
  <si>
    <t>PR.PS-06</t>
  </si>
  <si>
    <t>Secure software development practices are integrated, and their performance is monitored throughout the software development life cycle</t>
  </si>
  <si>
    <t>Secure software development practices (code review, dependency scanning) are integrated into the SaaS insurance platform's CI/CD pipeline via the vendor's SDLC, monitored through quarterly vendor security reports.</t>
  </si>
  <si>
    <t>Secure SDLC Policy / Vendor Security Report</t>
  </si>
  <si>
    <t>PR.IR-01</t>
  </si>
  <si>
    <t>Networks and environments are protected from unauthorized logical access and usage</t>
  </si>
  <si>
    <t>Network segmentation separates core banking from corporate IT, though segmentation between corporate IT and the SaaS insurance connectivity is less mature.</t>
  </si>
  <si>
    <t>PR.IR-02</t>
  </si>
  <si>
    <t>The organization's technology assets are protected from environmental threats</t>
  </si>
  <si>
    <t>Environmental protections (power, cooling, fire suppression) are in place at the primary data centre supporting core banking; documentation for the regional service centres is less complete.</t>
  </si>
  <si>
    <t>PR.IR-03</t>
  </si>
  <si>
    <t>Mechanisms are implemented to achieve resilience requirements in normal and adverse situations</t>
  </si>
  <si>
    <t>Resilience mechanisms (failover, redundancy) exist for core banking but have not been tested against the impact tolerances defined under the Operational Resilience programme.</t>
  </si>
  <si>
    <t>Have failover mechanisms been tested against the defined impact tolerance for the core banking service?</t>
  </si>
  <si>
    <t>PR.IR-04</t>
  </si>
  <si>
    <t>Adequate resource capacity to ensure availability is maintained</t>
  </si>
  <si>
    <t>Capacity planning is performed annually for core banking infrastructure; capacity monitoring for the SaaS platform is managed by the vendor with limited direct Northwind oversight.</t>
  </si>
  <si>
    <t>DE.CM-01</t>
  </si>
  <si>
    <t>Networks and network services are monitored to find potentially adverse events</t>
  </si>
  <si>
    <t>Network monitoring is performed continuously via a SIEM platform with defined use cases, tuned and reviewed quarterly by the security operations function.</t>
  </si>
  <si>
    <t>Logging &amp; Monitoring Standard / SIEM Runbook</t>
  </si>
  <si>
    <t>DE.CM-02</t>
  </si>
  <si>
    <t>The physical environment is monitored to find potentially adverse events</t>
  </si>
  <si>
    <t>Physical environment monitoring (CCTV, environmental sensors) covers head office and both regional service centres.</t>
  </si>
  <si>
    <t>DE.CM-03</t>
  </si>
  <si>
    <t>Personnel activity and technology usage are monitored to find potentially adverse events</t>
  </si>
  <si>
    <t>Personnel activity and technology usage are monitored via endpoint detection tooling deployed across corporate IT and core banking.</t>
  </si>
  <si>
    <t>DE.CM-06</t>
  </si>
  <si>
    <t>External service provider activities and services are monitored to find potentially adverse events</t>
  </si>
  <si>
    <t>Monitoring of the SaaS insurance vendor's activities relies on vendor-provided reports rather than direct Northwind visibility into vendor-side logs.</t>
  </si>
  <si>
    <t>Vendor Security Report</t>
  </si>
  <si>
    <t>Does Northwind receive direct log access or only summary reports from the SaaS insurance vendor?</t>
  </si>
  <si>
    <t>DE.CM-09</t>
  </si>
  <si>
    <t>Computing hardware and software, runtime environments, and their data are monitored to find potentially adverse events</t>
  </si>
  <si>
    <t>Computing hardware, software, and runtime environments are monitored for adverse events via the SIEM and endpoint tooling described above.</t>
  </si>
  <si>
    <t>SIEM Runbook</t>
  </si>
  <si>
    <t>DE.AE-02</t>
  </si>
  <si>
    <t>Potentially adverse events are analyzed to better understand associated activities</t>
  </si>
  <si>
    <t>Adverse events are triaged and analysed by the security operations function using a documented playbook.</t>
  </si>
  <si>
    <t>SIEM Runbook / SOC Playbook</t>
  </si>
  <si>
    <t>DE.AE-03</t>
  </si>
  <si>
    <t>Information is correlated from multiple sources</t>
  </si>
  <si>
    <t>Correlation across log sources (network, endpoint, identity) is performed within the SIEM.</t>
  </si>
  <si>
    <t>DE.AE-04</t>
  </si>
  <si>
    <t>The estimated impact and scope of adverse events are understood</t>
  </si>
  <si>
    <t>Impact and scope of adverse events are assessed as part of the standard triage playbook.</t>
  </si>
  <si>
    <t>SOC Playbook</t>
  </si>
  <si>
    <t>DE.AE-06</t>
  </si>
  <si>
    <t>Information on adverse events is provided to authorized staff and tools</t>
  </si>
  <si>
    <t>Adverse event information is routed to on-call security staff via the SIEM's alerting integration.</t>
  </si>
  <si>
    <t>DE.AE-07</t>
  </si>
  <si>
    <t>Cyber threat intelligence and other contextual information are integrated into the analysis</t>
  </si>
  <si>
    <t>Threat intelligence feeds are integrated into SIEM correlation rules, refreshed periodically.</t>
  </si>
  <si>
    <t>DE.AE-08</t>
  </si>
  <si>
    <t>Incidents are declared when adverse events meet the defined incident criteria</t>
  </si>
  <si>
    <t>Incidents are declared against documented criteria in the Incident Response Plan once triage confirms an adverse event meets the threshold.</t>
  </si>
  <si>
    <t>IR Plan</t>
  </si>
  <si>
    <t>RS.MA-01</t>
  </si>
  <si>
    <t>The incident response plan is executed in coordination with relevant third parties once an incident is declared</t>
  </si>
  <si>
    <t>The Incident Response Plan is executed by the internal team when an incident is declared; coordination with relevant third parties (e.g., the core banking hosting provider) is referenced in the plan but not evidenced as tested.</t>
  </si>
  <si>
    <t>RS.MA-02</t>
  </si>
  <si>
    <t>Incident reports are triaged and validated</t>
  </si>
  <si>
    <t>Incident reports are triaged and validated by the security operations function against the SOC playbook.</t>
  </si>
  <si>
    <t>RS.MA-03</t>
  </si>
  <si>
    <t>Incidents are categorized and prioritized</t>
  </si>
  <si>
    <t>Incidents are categorised and prioritised using a defined severity matrix in the IR Plan.</t>
  </si>
  <si>
    <t>RS.MA-04</t>
  </si>
  <si>
    <t>Incidents are escalated or elevated as needed</t>
  </si>
  <si>
    <t>Escalation paths exist in the IR Plan, though the criteria for escalating to the CISO/Board are not precisely defined by severity threshold.</t>
  </si>
  <si>
    <t>At what severity threshold does an incident get escalated to the CISO or Board Risk Committee?</t>
  </si>
  <si>
    <t>RS.MA-05</t>
  </si>
  <si>
    <t>The criteria for initiating incident recovery are applied</t>
  </si>
  <si>
    <t>Criteria for initiating incident recovery are not clearly documented, and the transition from response to recovery was informal during the one logged incident.</t>
  </si>
  <si>
    <t>IR Plan / Incident Log</t>
  </si>
  <si>
    <t>What criteria trigger the handoff from incident response to recovery?</t>
  </si>
  <si>
    <t>RS.AN-03</t>
  </si>
  <si>
    <t>Analysis is performed to establish what has taken place during an incident and the root cause of the incident</t>
  </si>
  <si>
    <t>Root cause analysis was performed for the logged incident, documented in a post-incident summary, though the methodology is not standardised for future incidents.</t>
  </si>
  <si>
    <t>Post-Incident Review</t>
  </si>
  <si>
    <t>RS.AN-06</t>
  </si>
  <si>
    <t>Actions performed during an investigation are recorded, and the records' integrity and provenance are preserved</t>
  </si>
  <si>
    <t>Investigation actions were recorded for the logged incident; a formal chain-of-custody/evidence integrity process is not documented.</t>
  </si>
  <si>
    <t>Is there a documented evidence-handling/chain-of-custody procedure for investigations?</t>
  </si>
  <si>
    <t>RS.AN-07</t>
  </si>
  <si>
    <t>Incident data and metadata are collected, and their integrity and provenance are preserved</t>
  </si>
  <si>
    <t>Incident data and metadata were collected and retained for the logged incident in line with the IR Plan's evidence-handling steps.</t>
  </si>
  <si>
    <t>RS.AN-08</t>
  </si>
  <si>
    <t>An incident's magnitude is estimated and validated</t>
  </si>
  <si>
    <t>The magnitude of the logged incident was estimated informally rather than through a documented impact-quantification method.</t>
  </si>
  <si>
    <t>Incident Log</t>
  </si>
  <si>
    <t>How was the business/financial impact of the incident estimated?</t>
  </si>
  <si>
    <t>RS.CO-02</t>
  </si>
  <si>
    <t>Internal and external stakeholders are notified of incidents</t>
  </si>
  <si>
    <t>Internal stakeholders were notified during the logged incident; formal regulatory notification procedures (e.g., to the FCA/PRA under applicable reporting duties) exist but were not tested end-to-end.</t>
  </si>
  <si>
    <t>RS.CO-03</t>
  </si>
  <si>
    <t>Information is shared with designated internal and external stakeholders</t>
  </si>
  <si>
    <t>Information sharing with designated stakeholders followed the IR Plan's communication tree, though timeliness was inconsistent during the logged incident.</t>
  </si>
  <si>
    <t>RS.MI-01</t>
  </si>
  <si>
    <t>Incidents are contained</t>
  </si>
  <si>
    <t>The logged incident was contained by disabling the affected account and rotating credentials, per standard containment steps in the IR Plan.</t>
  </si>
  <si>
    <t>Incident Log / IR Plan</t>
  </si>
  <si>
    <t>RS.MI-02</t>
  </si>
  <si>
    <t>Incidents are eradicated</t>
  </si>
  <si>
    <t>Eradication steps were completed for the logged incident, though a formal verification step confirming eradication was not documented.</t>
  </si>
  <si>
    <t>Was eradication formally verified before systems were returned to production?</t>
  </si>
  <si>
    <t>RC.RP-01</t>
  </si>
  <si>
    <t>The recovery portion of the incident response plan is executed once initiated from the incident response process</t>
  </si>
  <si>
    <t>The recovery portion of the IR Plan was executed following the logged incident, restoring the affected core banking service.</t>
  </si>
  <si>
    <t>RC.RP-02</t>
  </si>
  <si>
    <t>Recovery actions are selected, scoped, prioritized, and performed</t>
  </si>
  <si>
    <t>Recovery actions were selected and prioritised during the logged incident, though not against a pre-defined, tested recovery runbook.</t>
  </si>
  <si>
    <t>RC.RP-03</t>
  </si>
  <si>
    <t>The integrity of backups and other restoration assets is verified before using them for restoration</t>
  </si>
  <si>
    <t>Backup integrity is checked prior to use in restoration, though this check is manual and not consistently logged.</t>
  </si>
  <si>
    <t>RC.RP-04</t>
  </si>
  <si>
    <t>Critical mission functions and cybersecurity risk management are considered to establish post-incident operational norms</t>
  </si>
  <si>
    <t>Post-incident operational norms — what 'normal' looks like once recovery completes — are not formally defined ahead of an incident.</t>
  </si>
  <si>
    <t>How does Northwind define and confirm 'back to normal' after an incident?</t>
  </si>
  <si>
    <t>RC.RP-05</t>
  </si>
  <si>
    <t>The integrity of restored assets is verified, systems and services are restored, and normal operating status is confirmed</t>
  </si>
  <si>
    <t>Restored asset integrity was verified and normal operating status confirmed for the logged incident before customer-facing services resumed.</t>
  </si>
  <si>
    <t>RC.RP-06</t>
  </si>
  <si>
    <t>The end of incident recovery is declared based on criteria, and incident-related documentation is completed</t>
  </si>
  <si>
    <t>There is no formal, criteria-based process for declaring the end of incident recovery or completing incident documentation as a discrete closure step.</t>
  </si>
  <si>
    <t>Is there a formal sign-off/closure step once recovery is declared complete?</t>
  </si>
  <si>
    <t>RC.CO-03</t>
  </si>
  <si>
    <t>Recovery activities and progress in restoring operational capabilities are communicated to designated internal and external stakeholders</t>
  </si>
  <si>
    <t>Recovery progress was communicated to internal stakeholders (BU heads, Board Risk Committee) during the logged incident.</t>
  </si>
  <si>
    <t>RC.CO-04</t>
  </si>
  <si>
    <t>Public updates on incident recovery are shared using approved methods and messaging</t>
  </si>
  <si>
    <t>Public/customer-facing updates during incident recovery are handled ad hoc by Communications rather than through an approved, pre-drafted messaging framework.</t>
  </si>
  <si>
    <t>Is there a pre-approved public communications template for use during a service disruption?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</si>
</sst>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color theme="1"/>
      <name val="Calibri"/>
      <scheme val="minor"/>
    </font>
    <font>
      <i/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F0000"/>
        <bgColor rgb="FFFF000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4C7C3"/>
        <bgColor rgb="FFF4C7C3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readingOrder="0"/>
    </xf>
    <xf borderId="2" fillId="4" fontId="3" numFmtId="0" xfId="0" applyAlignment="1" applyBorder="1" applyFill="1" applyFont="1">
      <alignment horizontal="center" shrinkToFit="0" vertical="center" wrapText="0"/>
    </xf>
    <xf borderId="2" fillId="5" fontId="2" numFmtId="0" xfId="0" applyAlignment="1" applyBorder="1" applyFill="1" applyFont="1">
      <alignment shrinkToFit="0" vertical="top" wrapText="1"/>
    </xf>
    <xf borderId="2" fillId="6" fontId="3" numFmtId="0" xfId="0" applyAlignment="1" applyBorder="1" applyFill="1" applyFont="1">
      <alignment horizontal="center" shrinkToFit="0" vertical="center" wrapText="0"/>
    </xf>
    <xf borderId="2" fillId="7" fontId="3" numFmtId="0" xfId="0" applyAlignment="1" applyBorder="1" applyFill="1" applyFont="1">
      <alignment horizontal="center" shrinkToFit="0" vertical="center" wrapText="0"/>
    </xf>
    <xf borderId="2" fillId="7" fontId="2" numFmtId="0" xfId="0" applyAlignment="1" applyBorder="1" applyFont="1">
      <alignment horizontal="center" shrinkToFit="0" vertical="center" wrapText="0"/>
    </xf>
    <xf borderId="2" fillId="7" fontId="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top" wrapText="1"/>
    </xf>
    <xf borderId="2" fillId="8" fontId="3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30.0"/>
    <col customWidth="1" min="4" max="4" width="13.29"/>
    <col customWidth="1" min="5" max="5" width="45.0"/>
    <col customWidth="1" min="6" max="6" width="10.0"/>
    <col customWidth="1" min="7" max="7" width="50.0"/>
    <col customWidth="1" min="8" max="8" width="28.0"/>
    <col customWidth="1" min="9" max="9" width="40.0"/>
    <col customWidth="1" min="10" max="10" width="22.57"/>
    <col customWidth="1" min="11" max="26" width="8.71"/>
  </cols>
  <sheetData>
    <row r="1">
      <c r="A1" s="1" t="s">
        <v>0</v>
      </c>
      <c r="B1" s="1" t="s">
        <v>2</v>
      </c>
      <c r="C1" s="1" t="s">
        <v>3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16</v>
      </c>
      <c r="I1" s="1" t="s">
        <v>17</v>
      </c>
    </row>
    <row r="2">
      <c r="A2" s="3" t="s">
        <v>8</v>
      </c>
      <c r="B2" s="3" t="s">
        <v>13</v>
      </c>
      <c r="C2" s="3" t="s">
        <v>15</v>
      </c>
      <c r="D2" s="3" t="s">
        <v>18</v>
      </c>
      <c r="E2" s="3" t="s">
        <v>19</v>
      </c>
      <c r="F2" s="5">
        <v>3.0</v>
      </c>
      <c r="G2" s="3" t="s">
        <v>20</v>
      </c>
      <c r="H2" s="3" t="s">
        <v>21</v>
      </c>
      <c r="I2" s="3"/>
    </row>
    <row r="3">
      <c r="A3" s="3" t="s">
        <v>8</v>
      </c>
      <c r="B3" s="3" t="s">
        <v>13</v>
      </c>
      <c r="C3" s="3" t="s">
        <v>15</v>
      </c>
      <c r="D3" s="3" t="s">
        <v>22</v>
      </c>
      <c r="E3" s="3" t="s">
        <v>23</v>
      </c>
      <c r="F3" s="5">
        <v>3.0</v>
      </c>
      <c r="G3" s="3" t="s">
        <v>24</v>
      </c>
      <c r="H3" s="3" t="s">
        <v>25</v>
      </c>
      <c r="I3" s="3"/>
    </row>
    <row r="4">
      <c r="A4" s="3" t="s">
        <v>8</v>
      </c>
      <c r="B4" s="3" t="s">
        <v>13</v>
      </c>
      <c r="C4" s="3" t="s">
        <v>15</v>
      </c>
      <c r="D4" s="3" t="s">
        <v>26</v>
      </c>
      <c r="E4" s="3" t="s">
        <v>27</v>
      </c>
      <c r="F4" s="5">
        <v>3.0</v>
      </c>
      <c r="G4" s="3" t="s">
        <v>28</v>
      </c>
      <c r="H4" s="3" t="s">
        <v>29</v>
      </c>
      <c r="I4" s="3" t="s">
        <v>30</v>
      </c>
    </row>
    <row r="5">
      <c r="A5" s="3" t="s">
        <v>8</v>
      </c>
      <c r="B5" s="3" t="s">
        <v>13</v>
      </c>
      <c r="C5" s="3" t="s">
        <v>15</v>
      </c>
      <c r="D5" s="3" t="s">
        <v>31</v>
      </c>
      <c r="E5" s="3" t="s">
        <v>32</v>
      </c>
      <c r="F5" s="5">
        <v>3.0</v>
      </c>
      <c r="G5" s="3" t="s">
        <v>33</v>
      </c>
      <c r="H5" s="3" t="s">
        <v>34</v>
      </c>
      <c r="I5" s="3"/>
    </row>
    <row r="6">
      <c r="A6" s="3" t="s">
        <v>8</v>
      </c>
      <c r="B6" s="3" t="s">
        <v>13</v>
      </c>
      <c r="C6" s="3" t="s">
        <v>15</v>
      </c>
      <c r="D6" s="3" t="s">
        <v>35</v>
      </c>
      <c r="E6" s="3" t="s">
        <v>36</v>
      </c>
      <c r="F6" s="5">
        <v>3.0</v>
      </c>
      <c r="G6" s="3" t="s">
        <v>37</v>
      </c>
      <c r="H6" s="3" t="s">
        <v>38</v>
      </c>
      <c r="I6" s="3"/>
    </row>
    <row r="7">
      <c r="A7" s="3" t="s">
        <v>8</v>
      </c>
      <c r="B7" s="3" t="s">
        <v>39</v>
      </c>
      <c r="C7" s="3" t="s">
        <v>40</v>
      </c>
      <c r="D7" s="3" t="s">
        <v>41</v>
      </c>
      <c r="E7" s="3" t="s">
        <v>42</v>
      </c>
      <c r="F7" s="5">
        <v>3.0</v>
      </c>
      <c r="G7" s="3" t="s">
        <v>43</v>
      </c>
      <c r="H7" s="3" t="s">
        <v>40</v>
      </c>
      <c r="I7" s="3"/>
    </row>
    <row r="8">
      <c r="A8" s="3" t="s">
        <v>8</v>
      </c>
      <c r="B8" s="3" t="s">
        <v>39</v>
      </c>
      <c r="C8" s="3" t="s">
        <v>40</v>
      </c>
      <c r="D8" s="3" t="s">
        <v>44</v>
      </c>
      <c r="E8" s="3" t="s">
        <v>45</v>
      </c>
      <c r="F8" s="5">
        <v>3.0</v>
      </c>
      <c r="G8" s="3" t="s">
        <v>46</v>
      </c>
      <c r="H8" s="3" t="s">
        <v>47</v>
      </c>
      <c r="I8" s="3"/>
    </row>
    <row r="9">
      <c r="A9" s="3" t="s">
        <v>8</v>
      </c>
      <c r="B9" s="3" t="s">
        <v>39</v>
      </c>
      <c r="C9" s="3" t="s">
        <v>40</v>
      </c>
      <c r="D9" s="3" t="s">
        <v>48</v>
      </c>
      <c r="E9" s="3" t="s">
        <v>49</v>
      </c>
      <c r="F9" s="5">
        <v>3.0</v>
      </c>
      <c r="G9" s="3" t="s">
        <v>50</v>
      </c>
      <c r="H9" s="3" t="s">
        <v>51</v>
      </c>
      <c r="I9" s="3"/>
    </row>
    <row r="10">
      <c r="A10" s="3" t="s">
        <v>8</v>
      </c>
      <c r="B10" s="3" t="s">
        <v>39</v>
      </c>
      <c r="C10" s="3" t="s">
        <v>40</v>
      </c>
      <c r="D10" s="3" t="s">
        <v>53</v>
      </c>
      <c r="E10" s="3" t="s">
        <v>55</v>
      </c>
      <c r="F10" s="5">
        <v>3.0</v>
      </c>
      <c r="G10" s="3" t="s">
        <v>56</v>
      </c>
      <c r="H10" s="3" t="s">
        <v>40</v>
      </c>
      <c r="I10" s="3"/>
    </row>
    <row r="11">
      <c r="A11" s="3" t="s">
        <v>8</v>
      </c>
      <c r="B11" s="3" t="s">
        <v>39</v>
      </c>
      <c r="C11" s="3" t="s">
        <v>40</v>
      </c>
      <c r="D11" s="3" t="s">
        <v>57</v>
      </c>
      <c r="E11" s="3" t="s">
        <v>58</v>
      </c>
      <c r="F11" s="5">
        <v>3.0</v>
      </c>
      <c r="G11" s="3" t="s">
        <v>59</v>
      </c>
      <c r="H11" s="3" t="s">
        <v>60</v>
      </c>
      <c r="I11" s="3"/>
    </row>
    <row r="12">
      <c r="A12" s="3" t="s">
        <v>8</v>
      </c>
      <c r="B12" s="3" t="s">
        <v>39</v>
      </c>
      <c r="C12" s="3" t="s">
        <v>40</v>
      </c>
      <c r="D12" s="3" t="s">
        <v>61</v>
      </c>
      <c r="E12" s="3" t="s">
        <v>62</v>
      </c>
      <c r="F12" s="5">
        <v>3.0</v>
      </c>
      <c r="G12" s="3" t="s">
        <v>63</v>
      </c>
      <c r="H12" s="3" t="s">
        <v>65</v>
      </c>
      <c r="I12" s="3"/>
    </row>
    <row r="13">
      <c r="A13" s="3" t="s">
        <v>8</v>
      </c>
      <c r="B13" s="3" t="s">
        <v>39</v>
      </c>
      <c r="C13" s="3" t="s">
        <v>40</v>
      </c>
      <c r="D13" s="3" t="s">
        <v>68</v>
      </c>
      <c r="E13" s="3" t="s">
        <v>69</v>
      </c>
      <c r="F13" s="5">
        <v>3.0</v>
      </c>
      <c r="G13" s="3" t="s">
        <v>70</v>
      </c>
      <c r="H13" s="3" t="s">
        <v>71</v>
      </c>
      <c r="I13" s="3"/>
    </row>
    <row r="14">
      <c r="A14" s="3" t="s">
        <v>8</v>
      </c>
      <c r="B14" s="3" t="s">
        <v>52</v>
      </c>
      <c r="C14" s="3" t="s">
        <v>54</v>
      </c>
      <c r="D14" s="3" t="s">
        <v>72</v>
      </c>
      <c r="E14" s="3" t="s">
        <v>73</v>
      </c>
      <c r="F14" s="10">
        <v>4.0</v>
      </c>
      <c r="G14" s="3" t="s">
        <v>78</v>
      </c>
      <c r="H14" s="3" t="s">
        <v>79</v>
      </c>
      <c r="I14" s="3"/>
    </row>
    <row r="15">
      <c r="A15" s="3" t="s">
        <v>8</v>
      </c>
      <c r="B15" s="3" t="s">
        <v>52</v>
      </c>
      <c r="C15" s="3" t="s">
        <v>54</v>
      </c>
      <c r="D15" s="3" t="s">
        <v>80</v>
      </c>
      <c r="E15" s="3" t="s">
        <v>81</v>
      </c>
      <c r="F15" s="10">
        <v>4.0</v>
      </c>
      <c r="G15" s="3" t="s">
        <v>82</v>
      </c>
      <c r="H15" s="3" t="s">
        <v>83</v>
      </c>
      <c r="I15" s="3"/>
    </row>
    <row r="16">
      <c r="A16" s="3" t="s">
        <v>8</v>
      </c>
      <c r="B16" s="3" t="s">
        <v>52</v>
      </c>
      <c r="C16" s="3" t="s">
        <v>54</v>
      </c>
      <c r="D16" s="3" t="s">
        <v>85</v>
      </c>
      <c r="E16" s="3" t="s">
        <v>87</v>
      </c>
      <c r="F16" s="5">
        <v>3.0</v>
      </c>
      <c r="G16" s="3" t="s">
        <v>89</v>
      </c>
      <c r="H16" s="11" t="s">
        <v>90</v>
      </c>
      <c r="I16" s="3"/>
      <c r="J16" s="9" t="s">
        <v>91</v>
      </c>
    </row>
    <row r="17">
      <c r="A17" s="3" t="s">
        <v>8</v>
      </c>
      <c r="B17" s="3" t="s">
        <v>52</v>
      </c>
      <c r="C17" s="3" t="s">
        <v>54</v>
      </c>
      <c r="D17" s="3" t="s">
        <v>94</v>
      </c>
      <c r="E17" s="3" t="s">
        <v>95</v>
      </c>
      <c r="F17" s="5">
        <v>3.0</v>
      </c>
      <c r="G17" s="3" t="s">
        <v>96</v>
      </c>
      <c r="H17" s="3" t="s">
        <v>97</v>
      </c>
      <c r="I17" s="3"/>
    </row>
    <row r="18">
      <c r="A18" s="3" t="s">
        <v>8</v>
      </c>
      <c r="B18" s="3" t="s">
        <v>66</v>
      </c>
      <c r="C18" s="3" t="s">
        <v>67</v>
      </c>
      <c r="D18" s="3" t="s">
        <v>100</v>
      </c>
      <c r="E18" s="3" t="s">
        <v>101</v>
      </c>
      <c r="F18" s="10">
        <v>4.0</v>
      </c>
      <c r="G18" s="3" t="s">
        <v>102</v>
      </c>
      <c r="H18" s="3" t="s">
        <v>103</v>
      </c>
      <c r="I18" s="3"/>
    </row>
    <row r="19">
      <c r="A19" s="3" t="s">
        <v>8</v>
      </c>
      <c r="B19" s="3" t="s">
        <v>66</v>
      </c>
      <c r="C19" s="3" t="s">
        <v>67</v>
      </c>
      <c r="D19" s="3" t="s">
        <v>105</v>
      </c>
      <c r="E19" s="3" t="s">
        <v>106</v>
      </c>
      <c r="F19" s="5">
        <v>3.0</v>
      </c>
      <c r="G19" s="3" t="s">
        <v>107</v>
      </c>
      <c r="H19" s="3" t="s">
        <v>108</v>
      </c>
      <c r="I19" s="3"/>
    </row>
    <row r="20">
      <c r="A20" s="3" t="s">
        <v>8</v>
      </c>
      <c r="B20" s="3" t="s">
        <v>74</v>
      </c>
      <c r="C20" s="3" t="s">
        <v>75</v>
      </c>
      <c r="D20" s="3" t="s">
        <v>111</v>
      </c>
      <c r="E20" s="3" t="s">
        <v>112</v>
      </c>
      <c r="F20" s="5">
        <v>3.0</v>
      </c>
      <c r="G20" s="3" t="s">
        <v>113</v>
      </c>
      <c r="H20" s="3" t="s">
        <v>114</v>
      </c>
      <c r="I20" s="3"/>
    </row>
    <row r="21" ht="15.75" customHeight="1">
      <c r="A21" s="3" t="s">
        <v>8</v>
      </c>
      <c r="B21" s="3" t="s">
        <v>74</v>
      </c>
      <c r="C21" s="3" t="s">
        <v>75</v>
      </c>
      <c r="D21" s="3" t="s">
        <v>115</v>
      </c>
      <c r="E21" s="3" t="s">
        <v>116</v>
      </c>
      <c r="F21" s="5">
        <v>3.0</v>
      </c>
      <c r="G21" s="3" t="s">
        <v>119</v>
      </c>
      <c r="H21" s="3" t="s">
        <v>120</v>
      </c>
      <c r="I21" s="3"/>
    </row>
    <row r="22" ht="15.75" customHeight="1">
      <c r="A22" s="3" t="s">
        <v>8</v>
      </c>
      <c r="B22" s="3" t="s">
        <v>74</v>
      </c>
      <c r="C22" s="3" t="s">
        <v>75</v>
      </c>
      <c r="D22" s="3" t="s">
        <v>122</v>
      </c>
      <c r="E22" s="3" t="s">
        <v>123</v>
      </c>
      <c r="F22" s="5">
        <v>3.0</v>
      </c>
      <c r="G22" s="3" t="s">
        <v>124</v>
      </c>
      <c r="H22" s="3" t="s">
        <v>125</v>
      </c>
      <c r="I22" s="3"/>
    </row>
    <row r="23" ht="15.75" customHeight="1">
      <c r="A23" s="3" t="s">
        <v>8</v>
      </c>
      <c r="B23" s="3" t="s">
        <v>76</v>
      </c>
      <c r="C23" s="3" t="s">
        <v>77</v>
      </c>
      <c r="D23" s="3" t="s">
        <v>128</v>
      </c>
      <c r="E23" s="3" t="s">
        <v>129</v>
      </c>
      <c r="F23" s="5">
        <v>3.0</v>
      </c>
      <c r="G23" s="3" t="s">
        <v>130</v>
      </c>
      <c r="H23" s="3" t="s">
        <v>131</v>
      </c>
      <c r="I23" s="3"/>
    </row>
    <row r="24" ht="15.75" customHeight="1">
      <c r="A24" s="3" t="s">
        <v>8</v>
      </c>
      <c r="B24" s="3" t="s">
        <v>76</v>
      </c>
      <c r="C24" s="3" t="s">
        <v>77</v>
      </c>
      <c r="D24" s="3" t="s">
        <v>132</v>
      </c>
      <c r="E24" s="3" t="s">
        <v>133</v>
      </c>
      <c r="F24" s="5">
        <v>3.0</v>
      </c>
      <c r="G24" s="3" t="s">
        <v>136</v>
      </c>
      <c r="H24" s="3" t="s">
        <v>131</v>
      </c>
      <c r="I24" s="3"/>
    </row>
    <row r="25" ht="15.75" customHeight="1">
      <c r="A25" s="3" t="s">
        <v>8</v>
      </c>
      <c r="B25" s="3" t="s">
        <v>76</v>
      </c>
      <c r="C25" s="3" t="s">
        <v>77</v>
      </c>
      <c r="D25" s="3" t="s">
        <v>137</v>
      </c>
      <c r="E25" s="3" t="s">
        <v>139</v>
      </c>
      <c r="F25" s="5">
        <v>3.0</v>
      </c>
      <c r="G25" s="3" t="s">
        <v>140</v>
      </c>
      <c r="H25" s="3" t="s">
        <v>51</v>
      </c>
      <c r="I25" s="3"/>
    </row>
    <row r="26" ht="15.75" customHeight="1">
      <c r="A26" s="3" t="s">
        <v>8</v>
      </c>
      <c r="B26" s="3" t="s">
        <v>76</v>
      </c>
      <c r="C26" s="3" t="s">
        <v>77</v>
      </c>
      <c r="D26" s="3" t="s">
        <v>141</v>
      </c>
      <c r="E26" s="3" t="s">
        <v>142</v>
      </c>
      <c r="F26" s="5">
        <v>3.0</v>
      </c>
      <c r="G26" s="3" t="s">
        <v>143</v>
      </c>
      <c r="H26" s="3" t="s">
        <v>145</v>
      </c>
      <c r="I26" s="3"/>
    </row>
    <row r="27" ht="15.75" customHeight="1">
      <c r="A27" s="3" t="s">
        <v>8</v>
      </c>
      <c r="B27" s="3" t="s">
        <v>76</v>
      </c>
      <c r="C27" s="3" t="s">
        <v>77</v>
      </c>
      <c r="D27" s="3" t="s">
        <v>147</v>
      </c>
      <c r="E27" s="3" t="s">
        <v>148</v>
      </c>
      <c r="F27" s="5">
        <v>3.0</v>
      </c>
      <c r="G27" s="3" t="s">
        <v>149</v>
      </c>
      <c r="H27" s="3" t="s">
        <v>150</v>
      </c>
      <c r="I27" s="3"/>
    </row>
    <row r="28" ht="15.75" customHeight="1">
      <c r="A28" s="3" t="s">
        <v>8</v>
      </c>
      <c r="B28" s="3" t="s">
        <v>76</v>
      </c>
      <c r="C28" s="3" t="s">
        <v>77</v>
      </c>
      <c r="D28" s="3" t="s">
        <v>151</v>
      </c>
      <c r="E28" s="3" t="s">
        <v>152</v>
      </c>
      <c r="F28" s="5">
        <v>3.0</v>
      </c>
      <c r="G28" s="3" t="s">
        <v>153</v>
      </c>
      <c r="H28" s="3" t="s">
        <v>155</v>
      </c>
      <c r="I28" s="3"/>
    </row>
    <row r="29" ht="15.75" customHeight="1">
      <c r="A29" s="3" t="s">
        <v>8</v>
      </c>
      <c r="B29" s="3" t="s">
        <v>76</v>
      </c>
      <c r="C29" s="3" t="s">
        <v>77</v>
      </c>
      <c r="D29" s="3" t="s">
        <v>158</v>
      </c>
      <c r="E29" s="3" t="s">
        <v>159</v>
      </c>
      <c r="F29" s="5">
        <v>3.0</v>
      </c>
      <c r="G29" s="3" t="s">
        <v>160</v>
      </c>
      <c r="H29" s="3" t="s">
        <v>161</v>
      </c>
      <c r="I29" s="3"/>
    </row>
    <row r="30" ht="15.75" customHeight="1">
      <c r="A30" s="3" t="s">
        <v>8</v>
      </c>
      <c r="B30" s="3" t="s">
        <v>76</v>
      </c>
      <c r="C30" s="3" t="s">
        <v>77</v>
      </c>
      <c r="D30" s="3" t="s">
        <v>162</v>
      </c>
      <c r="E30" s="3" t="s">
        <v>163</v>
      </c>
      <c r="F30" s="12">
        <v>2.0</v>
      </c>
      <c r="G30" s="3" t="s">
        <v>166</v>
      </c>
      <c r="H30" s="3" t="s">
        <v>167</v>
      </c>
      <c r="I30" s="3" t="s">
        <v>168</v>
      </c>
    </row>
    <row r="31" ht="15.75" customHeight="1">
      <c r="A31" s="3" t="s">
        <v>8</v>
      </c>
      <c r="B31" s="3" t="s">
        <v>76</v>
      </c>
      <c r="C31" s="3" t="s">
        <v>77</v>
      </c>
      <c r="D31" s="3" t="s">
        <v>169</v>
      </c>
      <c r="E31" s="3" t="s">
        <v>172</v>
      </c>
      <c r="F31" s="12">
        <v>2.0</v>
      </c>
      <c r="G31" s="3" t="s">
        <v>173</v>
      </c>
      <c r="H31" s="3" t="s">
        <v>131</v>
      </c>
      <c r="I31" s="3" t="s">
        <v>174</v>
      </c>
    </row>
    <row r="32" ht="15.75" customHeight="1">
      <c r="A32" s="3" t="s">
        <v>8</v>
      </c>
      <c r="B32" s="3" t="s">
        <v>76</v>
      </c>
      <c r="C32" s="3" t="s">
        <v>77</v>
      </c>
      <c r="D32" s="3" t="s">
        <v>176</v>
      </c>
      <c r="E32" s="3" t="s">
        <v>177</v>
      </c>
      <c r="F32" s="12">
        <v>2.0</v>
      </c>
      <c r="G32" s="3" t="s">
        <v>178</v>
      </c>
      <c r="H32" s="3" t="s">
        <v>150</v>
      </c>
      <c r="I32" s="3" t="s">
        <v>179</v>
      </c>
    </row>
    <row r="33" ht="15.75" customHeight="1">
      <c r="A33" s="3" t="s">
        <v>84</v>
      </c>
      <c r="B33" s="3" t="s">
        <v>86</v>
      </c>
      <c r="C33" s="3" t="s">
        <v>88</v>
      </c>
      <c r="D33" s="3" t="s">
        <v>182</v>
      </c>
      <c r="E33" s="3" t="s">
        <v>183</v>
      </c>
      <c r="F33" s="5">
        <v>3.0</v>
      </c>
      <c r="G33" s="3" t="s">
        <v>184</v>
      </c>
      <c r="H33" s="3" t="s">
        <v>185</v>
      </c>
      <c r="I33" s="3"/>
    </row>
    <row r="34" ht="15.75" customHeight="1">
      <c r="A34" s="3" t="s">
        <v>84</v>
      </c>
      <c r="B34" s="3" t="s">
        <v>86</v>
      </c>
      <c r="C34" s="3" t="s">
        <v>88</v>
      </c>
      <c r="D34" s="3" t="s">
        <v>186</v>
      </c>
      <c r="E34" s="3" t="s">
        <v>187</v>
      </c>
      <c r="F34" s="12">
        <v>2.0</v>
      </c>
      <c r="G34" s="3" t="s">
        <v>188</v>
      </c>
      <c r="H34" s="3" t="s">
        <v>189</v>
      </c>
      <c r="I34" s="3" t="s">
        <v>190</v>
      </c>
    </row>
    <row r="35" ht="15.75" customHeight="1">
      <c r="A35" s="3" t="s">
        <v>84</v>
      </c>
      <c r="B35" s="3" t="s">
        <v>86</v>
      </c>
      <c r="C35" s="3" t="s">
        <v>88</v>
      </c>
      <c r="D35" s="3" t="s">
        <v>193</v>
      </c>
      <c r="E35" s="3" t="s">
        <v>194</v>
      </c>
      <c r="F35" s="12">
        <v>2.0</v>
      </c>
      <c r="G35" s="3" t="s">
        <v>195</v>
      </c>
      <c r="H35" s="3" t="s">
        <v>196</v>
      </c>
      <c r="I35" s="3" t="s">
        <v>197</v>
      </c>
    </row>
    <row r="36" ht="15.75" customHeight="1">
      <c r="A36" s="3" t="s">
        <v>84</v>
      </c>
      <c r="B36" s="3" t="s">
        <v>86</v>
      </c>
      <c r="C36" s="3" t="s">
        <v>88</v>
      </c>
      <c r="D36" s="3" t="s">
        <v>198</v>
      </c>
      <c r="E36" s="3" t="s">
        <v>199</v>
      </c>
      <c r="F36" s="12">
        <v>2.0</v>
      </c>
      <c r="G36" s="3" t="s">
        <v>200</v>
      </c>
      <c r="H36" s="3" t="s">
        <v>145</v>
      </c>
      <c r="I36" s="3"/>
    </row>
    <row r="37" ht="15.75" customHeight="1">
      <c r="A37" s="3" t="s">
        <v>84</v>
      </c>
      <c r="B37" s="3" t="s">
        <v>86</v>
      </c>
      <c r="C37" s="3" t="s">
        <v>88</v>
      </c>
      <c r="D37" s="3" t="s">
        <v>202</v>
      </c>
      <c r="E37" s="3" t="s">
        <v>204</v>
      </c>
      <c r="F37" s="12">
        <v>2.0</v>
      </c>
      <c r="G37" s="3" t="s">
        <v>205</v>
      </c>
      <c r="H37" s="3" t="s">
        <v>206</v>
      </c>
      <c r="I37" s="3"/>
    </row>
    <row r="38" ht="15.75" customHeight="1">
      <c r="A38" s="3" t="s">
        <v>84</v>
      </c>
      <c r="B38" s="3" t="s">
        <v>86</v>
      </c>
      <c r="C38" s="3" t="s">
        <v>88</v>
      </c>
      <c r="D38" s="3" t="s">
        <v>207</v>
      </c>
      <c r="E38" s="3" t="s">
        <v>208</v>
      </c>
      <c r="F38" s="12">
        <v>2.0</v>
      </c>
      <c r="G38" s="3" t="s">
        <v>209</v>
      </c>
      <c r="H38" s="3" t="s">
        <v>210</v>
      </c>
      <c r="I38" s="3"/>
    </row>
    <row r="39" ht="15.75" customHeight="1">
      <c r="A39" s="3" t="s">
        <v>84</v>
      </c>
      <c r="B39" s="3" t="s">
        <v>86</v>
      </c>
      <c r="C39" s="3" t="s">
        <v>88</v>
      </c>
      <c r="D39" s="3" t="s">
        <v>213</v>
      </c>
      <c r="E39" s="3" t="s">
        <v>214</v>
      </c>
      <c r="F39" s="12">
        <v>2.0</v>
      </c>
      <c r="G39" s="3" t="s">
        <v>215</v>
      </c>
      <c r="H39" s="3" t="s">
        <v>189</v>
      </c>
      <c r="I39" s="3" t="s">
        <v>216</v>
      </c>
    </row>
    <row r="40" ht="15.75" customHeight="1">
      <c r="A40" s="3" t="s">
        <v>84</v>
      </c>
      <c r="B40" s="3" t="s">
        <v>92</v>
      </c>
      <c r="C40" s="3" t="s">
        <v>93</v>
      </c>
      <c r="D40" s="3" t="s">
        <v>217</v>
      </c>
      <c r="E40" s="3" t="s">
        <v>218</v>
      </c>
      <c r="F40" s="12">
        <v>2.0</v>
      </c>
      <c r="G40" s="3" t="s">
        <v>219</v>
      </c>
      <c r="H40" s="3" t="s">
        <v>220</v>
      </c>
      <c r="I40" s="3"/>
    </row>
    <row r="41" ht="15.75" customHeight="1">
      <c r="A41" s="3" t="s">
        <v>84</v>
      </c>
      <c r="B41" s="3" t="s">
        <v>92</v>
      </c>
      <c r="C41" s="3" t="s">
        <v>93</v>
      </c>
      <c r="D41" s="3" t="s">
        <v>223</v>
      </c>
      <c r="E41" s="3" t="s">
        <v>224</v>
      </c>
      <c r="F41" s="12">
        <v>2.0</v>
      </c>
      <c r="G41" s="3" t="s">
        <v>225</v>
      </c>
      <c r="H41" s="3" t="s">
        <v>220</v>
      </c>
      <c r="I41" s="3"/>
    </row>
    <row r="42" ht="15.75" customHeight="1">
      <c r="A42" s="3" t="s">
        <v>84</v>
      </c>
      <c r="B42" s="3" t="s">
        <v>92</v>
      </c>
      <c r="C42" s="3" t="s">
        <v>93</v>
      </c>
      <c r="D42" s="3" t="s">
        <v>226</v>
      </c>
      <c r="E42" s="3" t="s">
        <v>227</v>
      </c>
      <c r="F42" s="12">
        <v>2.0</v>
      </c>
      <c r="G42" s="3" t="s">
        <v>228</v>
      </c>
      <c r="H42" s="3" t="s">
        <v>229</v>
      </c>
      <c r="I42" s="3"/>
    </row>
    <row r="43" ht="15.75" customHeight="1">
      <c r="A43" s="3" t="s">
        <v>84</v>
      </c>
      <c r="B43" s="3" t="s">
        <v>92</v>
      </c>
      <c r="C43" s="3" t="s">
        <v>93</v>
      </c>
      <c r="D43" s="3" t="s">
        <v>230</v>
      </c>
      <c r="E43" s="3" t="s">
        <v>231</v>
      </c>
      <c r="F43" s="12">
        <v>2.0</v>
      </c>
      <c r="G43" s="3" t="s">
        <v>233</v>
      </c>
      <c r="H43" s="3" t="s">
        <v>229</v>
      </c>
      <c r="I43" s="3"/>
    </row>
    <row r="44" ht="15.75" customHeight="1">
      <c r="A44" s="3" t="s">
        <v>84</v>
      </c>
      <c r="B44" s="3" t="s">
        <v>92</v>
      </c>
      <c r="C44" s="3" t="s">
        <v>93</v>
      </c>
      <c r="D44" s="3" t="s">
        <v>234</v>
      </c>
      <c r="E44" s="3" t="s">
        <v>235</v>
      </c>
      <c r="F44" s="12">
        <v>2.0</v>
      </c>
      <c r="G44" s="3" t="s">
        <v>236</v>
      </c>
      <c r="H44" s="3" t="s">
        <v>229</v>
      </c>
      <c r="I44" s="3"/>
    </row>
    <row r="45" ht="15.75" customHeight="1">
      <c r="A45" s="3" t="s">
        <v>84</v>
      </c>
      <c r="B45" s="3" t="s">
        <v>92</v>
      </c>
      <c r="C45" s="3" t="s">
        <v>93</v>
      </c>
      <c r="D45" s="3" t="s">
        <v>237</v>
      </c>
      <c r="E45" s="3" t="s">
        <v>238</v>
      </c>
      <c r="F45" s="12">
        <v>2.0</v>
      </c>
      <c r="G45" s="3" t="s">
        <v>239</v>
      </c>
      <c r="H45" s="3" t="s">
        <v>229</v>
      </c>
      <c r="I45" s="3"/>
    </row>
    <row r="46" ht="15.75" customHeight="1">
      <c r="A46" s="3" t="s">
        <v>84</v>
      </c>
      <c r="B46" s="3" t="s">
        <v>92</v>
      </c>
      <c r="C46" s="3" t="s">
        <v>93</v>
      </c>
      <c r="D46" s="3" t="s">
        <v>240</v>
      </c>
      <c r="E46" s="3" t="s">
        <v>241</v>
      </c>
      <c r="F46" s="12">
        <v>2.0</v>
      </c>
      <c r="G46" s="3" t="s">
        <v>242</v>
      </c>
      <c r="H46" s="3" t="s">
        <v>243</v>
      </c>
      <c r="I46" s="3" t="s">
        <v>244</v>
      </c>
    </row>
    <row r="47" ht="15.75" customHeight="1">
      <c r="A47" s="3" t="s">
        <v>84</v>
      </c>
      <c r="B47" s="3" t="s">
        <v>92</v>
      </c>
      <c r="C47" s="3" t="s">
        <v>93</v>
      </c>
      <c r="D47" s="3" t="s">
        <v>245</v>
      </c>
      <c r="E47" s="3" t="s">
        <v>246</v>
      </c>
      <c r="F47" s="17">
        <v>1.0</v>
      </c>
      <c r="G47" s="3" t="s">
        <v>247</v>
      </c>
      <c r="H47" s="3" t="s">
        <v>248</v>
      </c>
      <c r="I47" s="3" t="s">
        <v>249</v>
      </c>
    </row>
    <row r="48" ht="15.75" customHeight="1">
      <c r="A48" s="3" t="s">
        <v>84</v>
      </c>
      <c r="B48" s="3" t="s">
        <v>92</v>
      </c>
      <c r="C48" s="3" t="s">
        <v>93</v>
      </c>
      <c r="D48" s="3" t="s">
        <v>250</v>
      </c>
      <c r="E48" s="3" t="s">
        <v>251</v>
      </c>
      <c r="F48" s="12">
        <v>2.0</v>
      </c>
      <c r="G48" s="3" t="s">
        <v>252</v>
      </c>
      <c r="H48" s="3" t="s">
        <v>131</v>
      </c>
      <c r="I48" s="3"/>
    </row>
    <row r="49" ht="15.75" customHeight="1">
      <c r="A49" s="3" t="s">
        <v>84</v>
      </c>
      <c r="B49" s="3" t="s">
        <v>92</v>
      </c>
      <c r="C49" s="3" t="s">
        <v>93</v>
      </c>
      <c r="D49" s="3" t="s">
        <v>253</v>
      </c>
      <c r="E49" s="3" t="s">
        <v>254</v>
      </c>
      <c r="F49" s="12">
        <v>2.0</v>
      </c>
      <c r="G49" s="3" t="s">
        <v>255</v>
      </c>
      <c r="H49" s="3" t="s">
        <v>155</v>
      </c>
      <c r="I49" s="3"/>
    </row>
    <row r="50" ht="15.75" customHeight="1">
      <c r="A50" s="3" t="s">
        <v>84</v>
      </c>
      <c r="B50" s="3" t="s">
        <v>98</v>
      </c>
      <c r="C50" s="3" t="s">
        <v>99</v>
      </c>
      <c r="D50" s="3" t="s">
        <v>256</v>
      </c>
      <c r="E50" s="3" t="s">
        <v>257</v>
      </c>
      <c r="F50" s="12">
        <v>2.0</v>
      </c>
      <c r="G50" s="3" t="s">
        <v>258</v>
      </c>
      <c r="H50" s="3" t="s">
        <v>125</v>
      </c>
      <c r="I50" s="3"/>
    </row>
    <row r="51" ht="15.75" customHeight="1">
      <c r="A51" s="3" t="s">
        <v>84</v>
      </c>
      <c r="B51" s="3" t="s">
        <v>98</v>
      </c>
      <c r="C51" s="3" t="s">
        <v>99</v>
      </c>
      <c r="D51" s="3" t="s">
        <v>259</v>
      </c>
      <c r="E51" s="3" t="s">
        <v>260</v>
      </c>
      <c r="F51" s="12">
        <v>2.0</v>
      </c>
      <c r="G51" s="3" t="s">
        <v>261</v>
      </c>
      <c r="H51" s="3" t="s">
        <v>262</v>
      </c>
      <c r="I51" s="3"/>
    </row>
    <row r="52" ht="15.75" customHeight="1">
      <c r="A52" s="3" t="s">
        <v>84</v>
      </c>
      <c r="B52" s="3" t="s">
        <v>98</v>
      </c>
      <c r="C52" s="3" t="s">
        <v>99</v>
      </c>
      <c r="D52" s="3" t="s">
        <v>263</v>
      </c>
      <c r="E52" s="3" t="s">
        <v>264</v>
      </c>
      <c r="F52" s="12">
        <v>2.0</v>
      </c>
      <c r="G52" s="3" t="s">
        <v>265</v>
      </c>
      <c r="H52" s="3" t="s">
        <v>266</v>
      </c>
      <c r="I52" s="3"/>
    </row>
    <row r="53" ht="15.75" customHeight="1">
      <c r="A53" s="3" t="s">
        <v>84</v>
      </c>
      <c r="B53" s="3" t="s">
        <v>98</v>
      </c>
      <c r="C53" s="3" t="s">
        <v>99</v>
      </c>
      <c r="D53" s="3" t="s">
        <v>267</v>
      </c>
      <c r="E53" s="3" t="s">
        <v>268</v>
      </c>
      <c r="F53" s="12">
        <v>2.0</v>
      </c>
      <c r="G53" s="3" t="s">
        <v>269</v>
      </c>
      <c r="H53" s="3" t="s">
        <v>270</v>
      </c>
      <c r="I53" s="3"/>
    </row>
    <row r="54" ht="15.75" customHeight="1">
      <c r="A54" s="3" t="s">
        <v>104</v>
      </c>
      <c r="B54" s="3" t="s">
        <v>109</v>
      </c>
      <c r="C54" s="3" t="s">
        <v>110</v>
      </c>
      <c r="D54" s="3" t="s">
        <v>271</v>
      </c>
      <c r="E54" s="3" t="s">
        <v>272</v>
      </c>
      <c r="F54" s="12">
        <v>2.0</v>
      </c>
      <c r="G54" s="3" t="s">
        <v>273</v>
      </c>
      <c r="H54" s="3" t="s">
        <v>274</v>
      </c>
      <c r="I54" s="3" t="s">
        <v>275</v>
      </c>
    </row>
    <row r="55" ht="15.75" customHeight="1">
      <c r="A55" s="3" t="s">
        <v>104</v>
      </c>
      <c r="B55" s="3" t="s">
        <v>109</v>
      </c>
      <c r="C55" s="3" t="s">
        <v>110</v>
      </c>
      <c r="D55" s="3" t="s">
        <v>276</v>
      </c>
      <c r="E55" s="3" t="s">
        <v>277</v>
      </c>
      <c r="F55" s="12">
        <v>2.0</v>
      </c>
      <c r="G55" s="3" t="s">
        <v>278</v>
      </c>
      <c r="H55" s="3" t="s">
        <v>274</v>
      </c>
      <c r="I55" s="3"/>
    </row>
    <row r="56" ht="15.75" customHeight="1">
      <c r="A56" s="3" t="s">
        <v>104</v>
      </c>
      <c r="B56" s="3" t="s">
        <v>109</v>
      </c>
      <c r="C56" s="3" t="s">
        <v>110</v>
      </c>
      <c r="D56" s="3" t="s">
        <v>279</v>
      </c>
      <c r="E56" s="3" t="s">
        <v>280</v>
      </c>
      <c r="F56" s="12">
        <v>2.0</v>
      </c>
      <c r="G56" s="3" t="s">
        <v>281</v>
      </c>
      <c r="H56" s="3" t="s">
        <v>274</v>
      </c>
      <c r="I56" s="3" t="s">
        <v>282</v>
      </c>
    </row>
    <row r="57" ht="15.75" customHeight="1">
      <c r="A57" s="3" t="s">
        <v>104</v>
      </c>
      <c r="B57" s="3" t="s">
        <v>109</v>
      </c>
      <c r="C57" s="3" t="s">
        <v>110</v>
      </c>
      <c r="D57" s="3" t="s">
        <v>283</v>
      </c>
      <c r="E57" s="3" t="s">
        <v>284</v>
      </c>
      <c r="F57" s="12">
        <v>2.0</v>
      </c>
      <c r="G57" s="3" t="s">
        <v>285</v>
      </c>
      <c r="H57" s="3" t="s">
        <v>274</v>
      </c>
      <c r="I57" s="3"/>
    </row>
    <row r="58" ht="15.75" customHeight="1">
      <c r="A58" s="3" t="s">
        <v>104</v>
      </c>
      <c r="B58" s="3" t="s">
        <v>109</v>
      </c>
      <c r="C58" s="3" t="s">
        <v>110</v>
      </c>
      <c r="D58" s="3" t="s">
        <v>286</v>
      </c>
      <c r="E58" s="3" t="s">
        <v>287</v>
      </c>
      <c r="F58" s="17">
        <v>1.0</v>
      </c>
      <c r="G58" s="3" t="s">
        <v>288</v>
      </c>
      <c r="H58" s="3" t="s">
        <v>289</v>
      </c>
      <c r="I58" s="3" t="s">
        <v>290</v>
      </c>
    </row>
    <row r="59" ht="15.75" customHeight="1">
      <c r="A59" s="3" t="s">
        <v>104</v>
      </c>
      <c r="B59" s="3" t="s">
        <v>109</v>
      </c>
      <c r="C59" s="3" t="s">
        <v>110</v>
      </c>
      <c r="D59" s="3" t="s">
        <v>291</v>
      </c>
      <c r="E59" s="3" t="s">
        <v>292</v>
      </c>
      <c r="F59" s="5">
        <v>3.0</v>
      </c>
      <c r="G59" s="3" t="s">
        <v>293</v>
      </c>
      <c r="H59" s="3" t="s">
        <v>294</v>
      </c>
      <c r="I59" s="3"/>
    </row>
    <row r="60" ht="15.75" customHeight="1">
      <c r="A60" s="3" t="s">
        <v>104</v>
      </c>
      <c r="B60" s="3" t="s">
        <v>117</v>
      </c>
      <c r="C60" s="3" t="s">
        <v>118</v>
      </c>
      <c r="D60" s="3" t="s">
        <v>295</v>
      </c>
      <c r="E60" s="3" t="s">
        <v>296</v>
      </c>
      <c r="F60" s="5">
        <v>3.0</v>
      </c>
      <c r="G60" s="3" t="s">
        <v>297</v>
      </c>
      <c r="H60" s="11" t="s">
        <v>298</v>
      </c>
      <c r="I60" s="3"/>
      <c r="J60" s="9" t="s">
        <v>299</v>
      </c>
    </row>
    <row r="61" ht="15.75" customHeight="1">
      <c r="A61" s="3" t="s">
        <v>104</v>
      </c>
      <c r="B61" s="3" t="s">
        <v>117</v>
      </c>
      <c r="C61" s="3" t="s">
        <v>118</v>
      </c>
      <c r="D61" s="3" t="s">
        <v>300</v>
      </c>
      <c r="E61" s="3" t="s">
        <v>301</v>
      </c>
      <c r="F61" s="12">
        <v>2.0</v>
      </c>
      <c r="G61" s="3" t="s">
        <v>302</v>
      </c>
      <c r="H61" s="11" t="s">
        <v>298</v>
      </c>
      <c r="I61" s="3"/>
      <c r="J61" s="9" t="s">
        <v>299</v>
      </c>
    </row>
    <row r="62" ht="15.75" customHeight="1">
      <c r="A62" s="3" t="s">
        <v>104</v>
      </c>
      <c r="B62" s="3" t="s">
        <v>126</v>
      </c>
      <c r="C62" s="3" t="s">
        <v>127</v>
      </c>
      <c r="D62" s="3" t="s">
        <v>303</v>
      </c>
      <c r="E62" s="3" t="s">
        <v>304</v>
      </c>
      <c r="F62" s="12">
        <v>2.0</v>
      </c>
      <c r="G62" s="3" t="s">
        <v>305</v>
      </c>
      <c r="H62" s="3" t="s">
        <v>210</v>
      </c>
      <c r="I62" s="3" t="s">
        <v>306</v>
      </c>
    </row>
    <row r="63" ht="15.75" customHeight="1">
      <c r="A63" s="3" t="s">
        <v>104</v>
      </c>
      <c r="B63" s="3" t="s">
        <v>126</v>
      </c>
      <c r="C63" s="3" t="s">
        <v>127</v>
      </c>
      <c r="D63" s="3" t="s">
        <v>307</v>
      </c>
      <c r="E63" s="3" t="s">
        <v>308</v>
      </c>
      <c r="F63" s="12">
        <v>2.0</v>
      </c>
      <c r="G63" s="3" t="s">
        <v>309</v>
      </c>
      <c r="H63" s="3" t="s">
        <v>210</v>
      </c>
      <c r="I63" s="3"/>
    </row>
    <row r="64" ht="15.75" customHeight="1">
      <c r="A64" s="3" t="s">
        <v>104</v>
      </c>
      <c r="B64" s="3" t="s">
        <v>126</v>
      </c>
      <c r="C64" s="3" t="s">
        <v>127</v>
      </c>
      <c r="D64" s="3" t="s">
        <v>310</v>
      </c>
      <c r="E64" s="3" t="s">
        <v>311</v>
      </c>
      <c r="F64" s="17">
        <v>1.0</v>
      </c>
      <c r="G64" s="3" t="s">
        <v>312</v>
      </c>
      <c r="H64" s="3" t="s">
        <v>248</v>
      </c>
      <c r="I64" s="3" t="s">
        <v>313</v>
      </c>
    </row>
    <row r="65" ht="15.75" customHeight="1">
      <c r="A65" s="3" t="s">
        <v>104</v>
      </c>
      <c r="B65" s="3" t="s">
        <v>126</v>
      </c>
      <c r="C65" s="3" t="s">
        <v>127</v>
      </c>
      <c r="D65" s="3" t="s">
        <v>314</v>
      </c>
      <c r="E65" s="3" t="s">
        <v>315</v>
      </c>
      <c r="F65" s="17">
        <v>1.0</v>
      </c>
      <c r="G65" s="3" t="s">
        <v>316</v>
      </c>
      <c r="H65" s="3" t="s">
        <v>317</v>
      </c>
      <c r="I65" s="3" t="s">
        <v>318</v>
      </c>
    </row>
    <row r="66" ht="15.75" customHeight="1">
      <c r="A66" s="3" t="s">
        <v>104</v>
      </c>
      <c r="B66" s="3" t="s">
        <v>134</v>
      </c>
      <c r="C66" s="3" t="s">
        <v>135</v>
      </c>
      <c r="D66" s="3" t="s">
        <v>319</v>
      </c>
      <c r="E66" s="3" t="s">
        <v>320</v>
      </c>
      <c r="F66" s="12">
        <v>2.0</v>
      </c>
      <c r="G66" s="3" t="s">
        <v>321</v>
      </c>
      <c r="H66" s="3" t="s">
        <v>322</v>
      </c>
      <c r="I66" s="3"/>
    </row>
    <row r="67" ht="15.75" customHeight="1">
      <c r="A67" s="3" t="s">
        <v>104</v>
      </c>
      <c r="B67" s="3" t="s">
        <v>134</v>
      </c>
      <c r="C67" s="3" t="s">
        <v>135</v>
      </c>
      <c r="D67" s="3" t="s">
        <v>323</v>
      </c>
      <c r="E67" s="3" t="s">
        <v>324</v>
      </c>
      <c r="F67" s="12">
        <v>2.0</v>
      </c>
      <c r="G67" s="3" t="s">
        <v>325</v>
      </c>
      <c r="H67" s="3" t="s">
        <v>220</v>
      </c>
      <c r="I67" s="3"/>
    </row>
    <row r="68" ht="15.75" customHeight="1">
      <c r="A68" s="3" t="s">
        <v>104</v>
      </c>
      <c r="B68" s="3" t="s">
        <v>134</v>
      </c>
      <c r="C68" s="3" t="s">
        <v>135</v>
      </c>
      <c r="D68" s="3" t="s">
        <v>326</v>
      </c>
      <c r="E68" s="3" t="s">
        <v>327</v>
      </c>
      <c r="F68" s="12">
        <v>2.0</v>
      </c>
      <c r="G68" s="3" t="s">
        <v>328</v>
      </c>
      <c r="H68" s="3" t="s">
        <v>189</v>
      </c>
      <c r="I68" s="3"/>
    </row>
    <row r="69" ht="15.75" customHeight="1">
      <c r="A69" s="3" t="s">
        <v>104</v>
      </c>
      <c r="B69" s="3" t="s">
        <v>134</v>
      </c>
      <c r="C69" s="3" t="s">
        <v>135</v>
      </c>
      <c r="D69" s="3" t="s">
        <v>329</v>
      </c>
      <c r="E69" s="3" t="s">
        <v>330</v>
      </c>
      <c r="F69" s="12">
        <v>2.0</v>
      </c>
      <c r="G69" s="3" t="s">
        <v>331</v>
      </c>
      <c r="H69" s="3" t="s">
        <v>332</v>
      </c>
      <c r="I69" s="3"/>
    </row>
    <row r="70" ht="15.75" customHeight="1">
      <c r="A70" s="3" t="s">
        <v>104</v>
      </c>
      <c r="B70" s="3" t="s">
        <v>134</v>
      </c>
      <c r="C70" s="3" t="s">
        <v>135</v>
      </c>
      <c r="D70" s="3" t="s">
        <v>333</v>
      </c>
      <c r="E70" s="3" t="s">
        <v>334</v>
      </c>
      <c r="F70" s="12">
        <v>2.0</v>
      </c>
      <c r="G70" s="3" t="s">
        <v>335</v>
      </c>
      <c r="H70" s="3" t="s">
        <v>322</v>
      </c>
      <c r="I70" s="3"/>
    </row>
    <row r="71" ht="15.75" customHeight="1">
      <c r="A71" s="3" t="s">
        <v>104</v>
      </c>
      <c r="B71" s="3" t="s">
        <v>134</v>
      </c>
      <c r="C71" s="3" t="s">
        <v>135</v>
      </c>
      <c r="D71" s="3" t="s">
        <v>336</v>
      </c>
      <c r="E71" s="3" t="s">
        <v>337</v>
      </c>
      <c r="F71" s="5">
        <v>3.0</v>
      </c>
      <c r="G71" s="3" t="s">
        <v>338</v>
      </c>
      <c r="H71" s="3" t="s">
        <v>339</v>
      </c>
      <c r="I71" s="3"/>
    </row>
    <row r="72" ht="15.75" customHeight="1">
      <c r="A72" s="3" t="s">
        <v>104</v>
      </c>
      <c r="B72" s="3" t="s">
        <v>144</v>
      </c>
      <c r="C72" s="3" t="s">
        <v>146</v>
      </c>
      <c r="D72" s="3" t="s">
        <v>340</v>
      </c>
      <c r="E72" s="3" t="s">
        <v>341</v>
      </c>
      <c r="F72" s="12">
        <v>2.0</v>
      </c>
      <c r="G72" s="3" t="s">
        <v>342</v>
      </c>
      <c r="H72" s="3" t="s">
        <v>196</v>
      </c>
      <c r="I72" s="3"/>
    </row>
    <row r="73" ht="15.75" customHeight="1">
      <c r="A73" s="3" t="s">
        <v>104</v>
      </c>
      <c r="B73" s="3" t="s">
        <v>144</v>
      </c>
      <c r="C73" s="3" t="s">
        <v>146</v>
      </c>
      <c r="D73" s="3" t="s">
        <v>343</v>
      </c>
      <c r="E73" s="3" t="s">
        <v>344</v>
      </c>
      <c r="F73" s="12">
        <v>2.0</v>
      </c>
      <c r="G73" s="3" t="s">
        <v>345</v>
      </c>
      <c r="H73" s="3" t="s">
        <v>294</v>
      </c>
      <c r="I73" s="3"/>
    </row>
    <row r="74" ht="15.75" customHeight="1">
      <c r="A74" s="3" t="s">
        <v>104</v>
      </c>
      <c r="B74" s="3" t="s">
        <v>144</v>
      </c>
      <c r="C74" s="3" t="s">
        <v>146</v>
      </c>
      <c r="D74" s="3" t="s">
        <v>346</v>
      </c>
      <c r="E74" s="3" t="s">
        <v>347</v>
      </c>
      <c r="F74" s="12">
        <v>2.0</v>
      </c>
      <c r="G74" s="3" t="s">
        <v>348</v>
      </c>
      <c r="H74" s="3" t="s">
        <v>38</v>
      </c>
      <c r="I74" s="3" t="s">
        <v>349</v>
      </c>
    </row>
    <row r="75" ht="15.75" customHeight="1">
      <c r="A75" s="3" t="s">
        <v>104</v>
      </c>
      <c r="B75" s="3" t="s">
        <v>144</v>
      </c>
      <c r="C75" s="3" t="s">
        <v>146</v>
      </c>
      <c r="D75" s="3" t="s">
        <v>350</v>
      </c>
      <c r="E75" s="3" t="s">
        <v>351</v>
      </c>
      <c r="F75" s="12">
        <v>2.0</v>
      </c>
      <c r="G75" s="3" t="s">
        <v>352</v>
      </c>
      <c r="H75" s="3" t="s">
        <v>38</v>
      </c>
      <c r="I75" s="3"/>
    </row>
    <row r="76" ht="15.75" customHeight="1">
      <c r="A76" s="3" t="s">
        <v>121</v>
      </c>
      <c r="B76" s="3" t="s">
        <v>154</v>
      </c>
      <c r="C76" s="3" t="s">
        <v>156</v>
      </c>
      <c r="D76" s="3" t="s">
        <v>353</v>
      </c>
      <c r="E76" s="3" t="s">
        <v>354</v>
      </c>
      <c r="F76" s="10">
        <v>4.0</v>
      </c>
      <c r="G76" s="3" t="s">
        <v>355</v>
      </c>
      <c r="H76" s="3" t="s">
        <v>356</v>
      </c>
      <c r="I76" s="3"/>
    </row>
    <row r="77" ht="15.75" customHeight="1">
      <c r="A77" s="3" t="s">
        <v>121</v>
      </c>
      <c r="B77" s="3" t="s">
        <v>154</v>
      </c>
      <c r="C77" s="3" t="s">
        <v>156</v>
      </c>
      <c r="D77" s="3" t="s">
        <v>357</v>
      </c>
      <c r="E77" s="3" t="s">
        <v>358</v>
      </c>
      <c r="F77" s="5">
        <v>3.0</v>
      </c>
      <c r="G77" s="3" t="s">
        <v>359</v>
      </c>
      <c r="H77" s="3" t="s">
        <v>294</v>
      </c>
      <c r="I77" s="3"/>
    </row>
    <row r="78" ht="15.75" customHeight="1">
      <c r="A78" s="3" t="s">
        <v>121</v>
      </c>
      <c r="B78" s="3" t="s">
        <v>154</v>
      </c>
      <c r="C78" s="3" t="s">
        <v>156</v>
      </c>
      <c r="D78" s="3" t="s">
        <v>360</v>
      </c>
      <c r="E78" s="3" t="s">
        <v>361</v>
      </c>
      <c r="F78" s="5">
        <v>3.0</v>
      </c>
      <c r="G78" s="3" t="s">
        <v>362</v>
      </c>
      <c r="H78" s="3" t="s">
        <v>332</v>
      </c>
      <c r="I78" s="3"/>
    </row>
    <row r="79" ht="15.75" customHeight="1">
      <c r="A79" s="3" t="s">
        <v>121</v>
      </c>
      <c r="B79" s="3" t="s">
        <v>154</v>
      </c>
      <c r="C79" s="3" t="s">
        <v>156</v>
      </c>
      <c r="D79" s="3" t="s">
        <v>363</v>
      </c>
      <c r="E79" s="3" t="s">
        <v>364</v>
      </c>
      <c r="F79" s="12">
        <v>2.0</v>
      </c>
      <c r="G79" s="3" t="s">
        <v>365</v>
      </c>
      <c r="H79" s="3" t="s">
        <v>366</v>
      </c>
      <c r="I79" s="3" t="s">
        <v>367</v>
      </c>
    </row>
    <row r="80" ht="15.75" customHeight="1">
      <c r="A80" s="3" t="s">
        <v>121</v>
      </c>
      <c r="B80" s="3" t="s">
        <v>154</v>
      </c>
      <c r="C80" s="3" t="s">
        <v>156</v>
      </c>
      <c r="D80" s="3" t="s">
        <v>368</v>
      </c>
      <c r="E80" s="3" t="s">
        <v>369</v>
      </c>
      <c r="F80" s="5">
        <v>3.0</v>
      </c>
      <c r="G80" s="3" t="s">
        <v>370</v>
      </c>
      <c r="H80" s="3" t="s">
        <v>371</v>
      </c>
      <c r="I80" s="3"/>
    </row>
    <row r="81" ht="15.75" customHeight="1">
      <c r="A81" s="3" t="s">
        <v>121</v>
      </c>
      <c r="B81" s="3" t="s">
        <v>164</v>
      </c>
      <c r="C81" s="3" t="s">
        <v>165</v>
      </c>
      <c r="D81" s="3" t="s">
        <v>372</v>
      </c>
      <c r="E81" s="3" t="s">
        <v>373</v>
      </c>
      <c r="F81" s="5">
        <v>3.0</v>
      </c>
      <c r="G81" s="3" t="s">
        <v>374</v>
      </c>
      <c r="H81" s="3" t="s">
        <v>375</v>
      </c>
      <c r="I81" s="3"/>
    </row>
    <row r="82" ht="15.75" customHeight="1">
      <c r="A82" s="3" t="s">
        <v>121</v>
      </c>
      <c r="B82" s="3" t="s">
        <v>164</v>
      </c>
      <c r="C82" s="3" t="s">
        <v>165</v>
      </c>
      <c r="D82" s="3" t="s">
        <v>376</v>
      </c>
      <c r="E82" s="3" t="s">
        <v>377</v>
      </c>
      <c r="F82" s="5">
        <v>3.0</v>
      </c>
      <c r="G82" s="3" t="s">
        <v>378</v>
      </c>
      <c r="H82" s="3" t="s">
        <v>371</v>
      </c>
      <c r="I82" s="3"/>
    </row>
    <row r="83" ht="15.75" customHeight="1">
      <c r="A83" s="3" t="s">
        <v>121</v>
      </c>
      <c r="B83" s="3" t="s">
        <v>164</v>
      </c>
      <c r="C83" s="3" t="s">
        <v>165</v>
      </c>
      <c r="D83" s="3" t="s">
        <v>379</v>
      </c>
      <c r="E83" s="3" t="s">
        <v>380</v>
      </c>
      <c r="F83" s="5">
        <v>3.0</v>
      </c>
      <c r="G83" s="3" t="s">
        <v>381</v>
      </c>
      <c r="H83" s="3" t="s">
        <v>382</v>
      </c>
      <c r="I83" s="3"/>
    </row>
    <row r="84" ht="15.75" customHeight="1">
      <c r="A84" s="3" t="s">
        <v>121</v>
      </c>
      <c r="B84" s="3" t="s">
        <v>164</v>
      </c>
      <c r="C84" s="3" t="s">
        <v>165</v>
      </c>
      <c r="D84" s="3" t="s">
        <v>383</v>
      </c>
      <c r="E84" s="3" t="s">
        <v>384</v>
      </c>
      <c r="F84" s="5">
        <v>3.0</v>
      </c>
      <c r="G84" s="3" t="s">
        <v>385</v>
      </c>
      <c r="H84" s="3" t="s">
        <v>371</v>
      </c>
      <c r="I84" s="3"/>
    </row>
    <row r="85" ht="15.75" customHeight="1">
      <c r="A85" s="3" t="s">
        <v>121</v>
      </c>
      <c r="B85" s="3" t="s">
        <v>164</v>
      </c>
      <c r="C85" s="3" t="s">
        <v>165</v>
      </c>
      <c r="D85" s="3" t="s">
        <v>386</v>
      </c>
      <c r="E85" s="3" t="s">
        <v>387</v>
      </c>
      <c r="F85" s="5">
        <v>3.0</v>
      </c>
      <c r="G85" s="3" t="s">
        <v>388</v>
      </c>
      <c r="H85" s="3" t="s">
        <v>371</v>
      </c>
      <c r="I85" s="3"/>
    </row>
    <row r="86" ht="15.75" customHeight="1">
      <c r="A86" s="3" t="s">
        <v>121</v>
      </c>
      <c r="B86" s="3" t="s">
        <v>164</v>
      </c>
      <c r="C86" s="3" t="s">
        <v>165</v>
      </c>
      <c r="D86" s="3" t="s">
        <v>389</v>
      </c>
      <c r="E86" s="3" t="s">
        <v>390</v>
      </c>
      <c r="F86" s="5">
        <v>3.0</v>
      </c>
      <c r="G86" s="3" t="s">
        <v>391</v>
      </c>
      <c r="H86" s="3" t="s">
        <v>392</v>
      </c>
      <c r="I86" s="3"/>
    </row>
    <row r="87" ht="15.75" customHeight="1">
      <c r="A87" s="3" t="s">
        <v>138</v>
      </c>
      <c r="B87" s="3" t="s">
        <v>170</v>
      </c>
      <c r="C87" s="3" t="s">
        <v>171</v>
      </c>
      <c r="D87" s="3" t="s">
        <v>393</v>
      </c>
      <c r="E87" s="3" t="s">
        <v>394</v>
      </c>
      <c r="F87" s="12">
        <v>2.0</v>
      </c>
      <c r="G87" s="3" t="s">
        <v>395</v>
      </c>
      <c r="H87" s="3" t="s">
        <v>392</v>
      </c>
      <c r="I87" s="3"/>
    </row>
    <row r="88" ht="15.75" customHeight="1">
      <c r="A88" s="3" t="s">
        <v>138</v>
      </c>
      <c r="B88" s="3" t="s">
        <v>170</v>
      </c>
      <c r="C88" s="3" t="s">
        <v>171</v>
      </c>
      <c r="D88" s="3" t="s">
        <v>396</v>
      </c>
      <c r="E88" s="3" t="s">
        <v>397</v>
      </c>
      <c r="F88" s="12">
        <v>2.0</v>
      </c>
      <c r="G88" s="3" t="s">
        <v>398</v>
      </c>
      <c r="H88" s="3" t="s">
        <v>382</v>
      </c>
      <c r="I88" s="3"/>
    </row>
    <row r="89" ht="15.75" customHeight="1">
      <c r="A89" s="3" t="s">
        <v>138</v>
      </c>
      <c r="B89" s="3" t="s">
        <v>170</v>
      </c>
      <c r="C89" s="3" t="s">
        <v>171</v>
      </c>
      <c r="D89" s="3" t="s">
        <v>399</v>
      </c>
      <c r="E89" s="3" t="s">
        <v>400</v>
      </c>
      <c r="F89" s="5">
        <v>3.0</v>
      </c>
      <c r="G89" s="3" t="s">
        <v>401</v>
      </c>
      <c r="H89" s="3" t="s">
        <v>392</v>
      </c>
      <c r="I89" s="3"/>
    </row>
    <row r="90" ht="15.75" customHeight="1">
      <c r="A90" s="3" t="s">
        <v>138</v>
      </c>
      <c r="B90" s="3" t="s">
        <v>170</v>
      </c>
      <c r="C90" s="3" t="s">
        <v>171</v>
      </c>
      <c r="D90" s="3" t="s">
        <v>402</v>
      </c>
      <c r="E90" s="3" t="s">
        <v>403</v>
      </c>
      <c r="F90" s="12">
        <v>2.0</v>
      </c>
      <c r="G90" s="3" t="s">
        <v>404</v>
      </c>
      <c r="H90" s="3" t="s">
        <v>392</v>
      </c>
      <c r="I90" s="3" t="s">
        <v>405</v>
      </c>
    </row>
    <row r="91" ht="15.75" customHeight="1">
      <c r="A91" s="3" t="s">
        <v>138</v>
      </c>
      <c r="B91" s="3" t="s">
        <v>170</v>
      </c>
      <c r="C91" s="3" t="s">
        <v>171</v>
      </c>
      <c r="D91" s="3" t="s">
        <v>406</v>
      </c>
      <c r="E91" s="3" t="s">
        <v>407</v>
      </c>
      <c r="F91" s="17">
        <v>1.0</v>
      </c>
      <c r="G91" s="3" t="s">
        <v>408</v>
      </c>
      <c r="H91" s="3" t="s">
        <v>409</v>
      </c>
      <c r="I91" s="3" t="s">
        <v>410</v>
      </c>
    </row>
    <row r="92" ht="15.75" customHeight="1">
      <c r="A92" s="3" t="s">
        <v>138</v>
      </c>
      <c r="B92" s="3" t="s">
        <v>180</v>
      </c>
      <c r="C92" s="3" t="s">
        <v>181</v>
      </c>
      <c r="D92" s="3" t="s">
        <v>411</v>
      </c>
      <c r="E92" s="3" t="s">
        <v>412</v>
      </c>
      <c r="F92" s="12">
        <v>2.0</v>
      </c>
      <c r="G92" s="3" t="s">
        <v>413</v>
      </c>
      <c r="H92" s="3" t="s">
        <v>414</v>
      </c>
      <c r="I92" s="3"/>
    </row>
    <row r="93" ht="15.75" customHeight="1">
      <c r="A93" s="3" t="s">
        <v>138</v>
      </c>
      <c r="B93" s="3" t="s">
        <v>180</v>
      </c>
      <c r="C93" s="3" t="s">
        <v>181</v>
      </c>
      <c r="D93" s="3" t="s">
        <v>415</v>
      </c>
      <c r="E93" s="3" t="s">
        <v>416</v>
      </c>
      <c r="F93" s="12">
        <v>2.0</v>
      </c>
      <c r="G93" s="3" t="s">
        <v>417</v>
      </c>
      <c r="H93" s="3" t="s">
        <v>414</v>
      </c>
      <c r="I93" s="3" t="s">
        <v>418</v>
      </c>
    </row>
    <row r="94" ht="15.75" customHeight="1">
      <c r="A94" s="3" t="s">
        <v>138</v>
      </c>
      <c r="B94" s="3" t="s">
        <v>180</v>
      </c>
      <c r="C94" s="3" t="s">
        <v>181</v>
      </c>
      <c r="D94" s="3" t="s">
        <v>419</v>
      </c>
      <c r="E94" s="3" t="s">
        <v>420</v>
      </c>
      <c r="F94" s="5">
        <v>3.0</v>
      </c>
      <c r="G94" s="3" t="s">
        <v>421</v>
      </c>
      <c r="H94" s="3" t="s">
        <v>409</v>
      </c>
      <c r="I94" s="3"/>
    </row>
    <row r="95" ht="15.75" customHeight="1">
      <c r="A95" s="3" t="s">
        <v>138</v>
      </c>
      <c r="B95" s="3" t="s">
        <v>180</v>
      </c>
      <c r="C95" s="3" t="s">
        <v>181</v>
      </c>
      <c r="D95" s="3" t="s">
        <v>422</v>
      </c>
      <c r="E95" s="3" t="s">
        <v>423</v>
      </c>
      <c r="F95" s="17">
        <v>1.0</v>
      </c>
      <c r="G95" s="3" t="s">
        <v>424</v>
      </c>
      <c r="H95" s="3" t="s">
        <v>425</v>
      </c>
      <c r="I95" s="3" t="s">
        <v>426</v>
      </c>
    </row>
    <row r="96" ht="15.75" customHeight="1">
      <c r="A96" s="3" t="s">
        <v>138</v>
      </c>
      <c r="B96" s="3" t="s">
        <v>191</v>
      </c>
      <c r="C96" s="3" t="s">
        <v>192</v>
      </c>
      <c r="D96" s="3" t="s">
        <v>427</v>
      </c>
      <c r="E96" s="3" t="s">
        <v>428</v>
      </c>
      <c r="F96" s="12">
        <v>2.0</v>
      </c>
      <c r="G96" s="3" t="s">
        <v>429</v>
      </c>
      <c r="H96" s="3" t="s">
        <v>392</v>
      </c>
      <c r="I96" s="3"/>
    </row>
    <row r="97" ht="15.75" customHeight="1">
      <c r="A97" s="3" t="s">
        <v>138</v>
      </c>
      <c r="B97" s="3" t="s">
        <v>191</v>
      </c>
      <c r="C97" s="3" t="s">
        <v>192</v>
      </c>
      <c r="D97" s="3" t="s">
        <v>430</v>
      </c>
      <c r="E97" s="3" t="s">
        <v>431</v>
      </c>
      <c r="F97" s="12">
        <v>2.0</v>
      </c>
      <c r="G97" s="3" t="s">
        <v>432</v>
      </c>
      <c r="H97" s="3" t="s">
        <v>414</v>
      </c>
      <c r="I97" s="3"/>
    </row>
    <row r="98" ht="15.75" customHeight="1">
      <c r="A98" s="3" t="s">
        <v>138</v>
      </c>
      <c r="B98" s="3" t="s">
        <v>201</v>
      </c>
      <c r="C98" s="3" t="s">
        <v>203</v>
      </c>
      <c r="D98" s="3" t="s">
        <v>433</v>
      </c>
      <c r="E98" s="3" t="s">
        <v>434</v>
      </c>
      <c r="F98" s="12">
        <v>2.0</v>
      </c>
      <c r="G98" s="3" t="s">
        <v>435</v>
      </c>
      <c r="H98" s="3" t="s">
        <v>436</v>
      </c>
      <c r="I98" s="3"/>
    </row>
    <row r="99" ht="15.75" customHeight="1">
      <c r="A99" s="3" t="s">
        <v>138</v>
      </c>
      <c r="B99" s="3" t="s">
        <v>201</v>
      </c>
      <c r="C99" s="3" t="s">
        <v>203</v>
      </c>
      <c r="D99" s="3" t="s">
        <v>437</v>
      </c>
      <c r="E99" s="3" t="s">
        <v>438</v>
      </c>
      <c r="F99" s="12">
        <v>2.0</v>
      </c>
      <c r="G99" s="3" t="s">
        <v>439</v>
      </c>
      <c r="H99" s="3" t="s">
        <v>414</v>
      </c>
      <c r="I99" s="3" t="s">
        <v>440</v>
      </c>
    </row>
    <row r="100" ht="15.75" customHeight="1">
      <c r="A100" s="3" t="s">
        <v>157</v>
      </c>
      <c r="B100" s="3" t="s">
        <v>211</v>
      </c>
      <c r="C100" s="3" t="s">
        <v>212</v>
      </c>
      <c r="D100" s="3" t="s">
        <v>441</v>
      </c>
      <c r="E100" s="3" t="s">
        <v>442</v>
      </c>
      <c r="F100" s="5">
        <v>3.0</v>
      </c>
      <c r="G100" s="3" t="s">
        <v>443</v>
      </c>
      <c r="H100" s="3" t="s">
        <v>409</v>
      </c>
      <c r="I100" s="3"/>
    </row>
    <row r="101" ht="15.75" customHeight="1">
      <c r="A101" s="3" t="s">
        <v>157</v>
      </c>
      <c r="B101" s="3" t="s">
        <v>211</v>
      </c>
      <c r="C101" s="3" t="s">
        <v>212</v>
      </c>
      <c r="D101" s="3" t="s">
        <v>444</v>
      </c>
      <c r="E101" s="3" t="s">
        <v>445</v>
      </c>
      <c r="F101" s="12">
        <v>2.0</v>
      </c>
      <c r="G101" s="3" t="s">
        <v>446</v>
      </c>
      <c r="H101" s="3" t="s">
        <v>392</v>
      </c>
      <c r="I101" s="3"/>
    </row>
    <row r="102" ht="15.75" customHeight="1">
      <c r="A102" s="3" t="s">
        <v>157</v>
      </c>
      <c r="B102" s="3" t="s">
        <v>211</v>
      </c>
      <c r="C102" s="3" t="s">
        <v>212</v>
      </c>
      <c r="D102" s="3" t="s">
        <v>447</v>
      </c>
      <c r="E102" s="3" t="s">
        <v>448</v>
      </c>
      <c r="F102" s="12">
        <v>2.0</v>
      </c>
      <c r="G102" s="3" t="s">
        <v>449</v>
      </c>
      <c r="H102" s="3" t="s">
        <v>317</v>
      </c>
      <c r="I102" s="3"/>
    </row>
    <row r="103" ht="15.75" customHeight="1">
      <c r="A103" s="3" t="s">
        <v>157</v>
      </c>
      <c r="B103" s="3" t="s">
        <v>211</v>
      </c>
      <c r="C103" s="3" t="s">
        <v>212</v>
      </c>
      <c r="D103" s="3" t="s">
        <v>450</v>
      </c>
      <c r="E103" s="3" t="s">
        <v>451</v>
      </c>
      <c r="F103" s="17">
        <v>1.0</v>
      </c>
      <c r="G103" s="3" t="s">
        <v>452</v>
      </c>
      <c r="H103" s="3" t="s">
        <v>248</v>
      </c>
      <c r="I103" s="3" t="s">
        <v>453</v>
      </c>
    </row>
    <row r="104" ht="15.75" customHeight="1">
      <c r="A104" s="3" t="s">
        <v>157</v>
      </c>
      <c r="B104" s="3" t="s">
        <v>211</v>
      </c>
      <c r="C104" s="3" t="s">
        <v>212</v>
      </c>
      <c r="D104" s="3" t="s">
        <v>454</v>
      </c>
      <c r="E104" s="3" t="s">
        <v>455</v>
      </c>
      <c r="F104" s="5">
        <v>3.0</v>
      </c>
      <c r="G104" s="3" t="s">
        <v>456</v>
      </c>
      <c r="H104" s="3" t="s">
        <v>262</v>
      </c>
      <c r="I104" s="3"/>
    </row>
    <row r="105" ht="15.75" customHeight="1">
      <c r="A105" s="3" t="s">
        <v>157</v>
      </c>
      <c r="B105" s="3" t="s">
        <v>211</v>
      </c>
      <c r="C105" s="3" t="s">
        <v>212</v>
      </c>
      <c r="D105" s="3" t="s">
        <v>457</v>
      </c>
      <c r="E105" s="3" t="s">
        <v>458</v>
      </c>
      <c r="F105" s="17">
        <v>1.0</v>
      </c>
      <c r="G105" s="3" t="s">
        <v>459</v>
      </c>
      <c r="H105" s="3" t="s">
        <v>248</v>
      </c>
      <c r="I105" s="3" t="s">
        <v>460</v>
      </c>
    </row>
    <row r="106" ht="15.75" customHeight="1">
      <c r="A106" s="3" t="s">
        <v>157</v>
      </c>
      <c r="B106" s="3" t="s">
        <v>221</v>
      </c>
      <c r="C106" s="3" t="s">
        <v>222</v>
      </c>
      <c r="D106" s="3" t="s">
        <v>461</v>
      </c>
      <c r="E106" s="3" t="s">
        <v>462</v>
      </c>
      <c r="F106" s="5">
        <v>3.0</v>
      </c>
      <c r="G106" s="3" t="s">
        <v>463</v>
      </c>
      <c r="H106" s="3" t="s">
        <v>414</v>
      </c>
      <c r="I106" s="3"/>
    </row>
    <row r="107" ht="15.75" customHeight="1">
      <c r="A107" s="3" t="s">
        <v>157</v>
      </c>
      <c r="B107" s="3" t="s">
        <v>221</v>
      </c>
      <c r="C107" s="3" t="s">
        <v>222</v>
      </c>
      <c r="D107" s="3" t="s">
        <v>464</v>
      </c>
      <c r="E107" s="3" t="s">
        <v>465</v>
      </c>
      <c r="F107" s="17">
        <v>1.0</v>
      </c>
      <c r="G107" s="3" t="s">
        <v>466</v>
      </c>
      <c r="H107" s="3" t="s">
        <v>248</v>
      </c>
      <c r="I107" s="3" t="s">
        <v>467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I$107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40.0"/>
    <col customWidth="1" min="4" max="4" width="24.0"/>
    <col customWidth="1" min="5" max="5" width="16.0"/>
    <col customWidth="1" min="6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8</v>
      </c>
      <c r="B2" s="2" t="s">
        <v>13</v>
      </c>
      <c r="C2" s="2" t="s">
        <v>15</v>
      </c>
      <c r="D2" s="7">
        <f>AVERAGEIF('Subcategory Scores'!$B:$B,"GV.OC",'Subcategory Scores'!$F:$F)</f>
        <v>3</v>
      </c>
      <c r="E2" s="2">
        <v>5.0</v>
      </c>
    </row>
    <row r="3">
      <c r="A3" s="2" t="s">
        <v>8</v>
      </c>
      <c r="B3" s="2" t="s">
        <v>39</v>
      </c>
      <c r="C3" s="2" t="s">
        <v>40</v>
      </c>
      <c r="D3" s="7">
        <f>AVERAGEIF('Subcategory Scores'!$B:$B,"GV.RM",'Subcategory Scores'!$F:$F)</f>
        <v>3</v>
      </c>
      <c r="E3" s="2">
        <v>7.0</v>
      </c>
    </row>
    <row r="4">
      <c r="A4" s="2" t="s">
        <v>8</v>
      </c>
      <c r="B4" s="2" t="s">
        <v>52</v>
      </c>
      <c r="C4" s="2" t="s">
        <v>54</v>
      </c>
      <c r="D4" s="7">
        <f>AVERAGEIF('Subcategory Scores'!$B:$B,"GV.RR",'Subcategory Scores'!$F:$F)</f>
        <v>3.5</v>
      </c>
      <c r="E4" s="2">
        <v>4.0</v>
      </c>
      <c r="G4" s="9" t="s">
        <v>64</v>
      </c>
    </row>
    <row r="5">
      <c r="A5" s="2" t="s">
        <v>8</v>
      </c>
      <c r="B5" s="2" t="s">
        <v>66</v>
      </c>
      <c r="C5" s="2" t="s">
        <v>67</v>
      </c>
      <c r="D5" s="7">
        <f>AVERAGEIF('Subcategory Scores'!$B:$B,"GV.PO",'Subcategory Scores'!$F:$F)</f>
        <v>3.5</v>
      </c>
      <c r="E5" s="2">
        <v>2.0</v>
      </c>
    </row>
    <row r="6">
      <c r="A6" s="2" t="s">
        <v>8</v>
      </c>
      <c r="B6" s="2" t="s">
        <v>74</v>
      </c>
      <c r="C6" s="2" t="s">
        <v>75</v>
      </c>
      <c r="D6" s="7">
        <f>AVERAGEIF('Subcategory Scores'!$B:$B,"GV.OV",'Subcategory Scores'!$F:$F)</f>
        <v>3</v>
      </c>
      <c r="E6" s="2">
        <v>3.0</v>
      </c>
    </row>
    <row r="7">
      <c r="A7" s="2" t="s">
        <v>8</v>
      </c>
      <c r="B7" s="2" t="s">
        <v>76</v>
      </c>
      <c r="C7" s="2" t="s">
        <v>77</v>
      </c>
      <c r="D7" s="7">
        <f>AVERAGEIF('Subcategory Scores'!$B:$B,"GV.SC",'Subcategory Scores'!$F:$F)</f>
        <v>2.7</v>
      </c>
      <c r="E7" s="2">
        <v>10.0</v>
      </c>
    </row>
    <row r="8">
      <c r="A8" s="2" t="s">
        <v>84</v>
      </c>
      <c r="B8" s="2" t="s">
        <v>86</v>
      </c>
      <c r="C8" s="2" t="s">
        <v>88</v>
      </c>
      <c r="D8" s="7">
        <f>AVERAGEIF('Subcategory Scores'!$B:$B,"ID.AM",'Subcategory Scores'!$F:$F)</f>
        <v>2.142857143</v>
      </c>
      <c r="E8" s="2">
        <v>7.0</v>
      </c>
    </row>
    <row r="9">
      <c r="A9" s="2" t="s">
        <v>84</v>
      </c>
      <c r="B9" s="2" t="s">
        <v>92</v>
      </c>
      <c r="C9" s="2" t="s">
        <v>93</v>
      </c>
      <c r="D9" s="7">
        <f>AVERAGEIF('Subcategory Scores'!$B:$B,"ID.RA",'Subcategory Scores'!$F:$F)</f>
        <v>1.9</v>
      </c>
      <c r="E9" s="2">
        <v>10.0</v>
      </c>
    </row>
    <row r="10">
      <c r="A10" s="2" t="s">
        <v>84</v>
      </c>
      <c r="B10" s="2" t="s">
        <v>98</v>
      </c>
      <c r="C10" s="2" t="s">
        <v>99</v>
      </c>
      <c r="D10" s="7">
        <f>AVERAGEIF('Subcategory Scores'!$B:$B,"ID.IM",'Subcategory Scores'!$F:$F)</f>
        <v>2</v>
      </c>
      <c r="E10" s="2">
        <v>4.0</v>
      </c>
    </row>
    <row r="11">
      <c r="A11" s="2" t="s">
        <v>104</v>
      </c>
      <c r="B11" s="2" t="s">
        <v>109</v>
      </c>
      <c r="C11" s="2" t="s">
        <v>110</v>
      </c>
      <c r="D11" s="7">
        <f>AVERAGEIF('Subcategory Scores'!$B:$B,"PR.AA",'Subcategory Scores'!$F:$F)</f>
        <v>2</v>
      </c>
      <c r="E11" s="2">
        <v>6.0</v>
      </c>
    </row>
    <row r="12">
      <c r="A12" s="2" t="s">
        <v>104</v>
      </c>
      <c r="B12" s="2" t="s">
        <v>117</v>
      </c>
      <c r="C12" s="2" t="s">
        <v>118</v>
      </c>
      <c r="D12" s="7">
        <f>AVERAGEIF('Subcategory Scores'!$B:$B,"PR.AT",'Subcategory Scores'!$F:$F)</f>
        <v>2.5</v>
      </c>
      <c r="E12" s="2">
        <v>2.0</v>
      </c>
    </row>
    <row r="13">
      <c r="A13" s="2" t="s">
        <v>104</v>
      </c>
      <c r="B13" s="2" t="s">
        <v>126</v>
      </c>
      <c r="C13" s="2" t="s">
        <v>127</v>
      </c>
      <c r="D13" s="7">
        <f>AVERAGEIF('Subcategory Scores'!$B:$B,"PR.DS",'Subcategory Scores'!$F:$F)</f>
        <v>1.5</v>
      </c>
      <c r="E13" s="2">
        <v>4.0</v>
      </c>
    </row>
    <row r="14">
      <c r="A14" s="2" t="s">
        <v>104</v>
      </c>
      <c r="B14" s="2" t="s">
        <v>134</v>
      </c>
      <c r="C14" s="2" t="s">
        <v>135</v>
      </c>
      <c r="D14" s="7">
        <f>AVERAGEIF('Subcategory Scores'!$B:$B,"PR.PS",'Subcategory Scores'!$F:$F)</f>
        <v>2.166666667</v>
      </c>
      <c r="E14" s="2">
        <v>6.0</v>
      </c>
    </row>
    <row r="15">
      <c r="A15" s="2" t="s">
        <v>104</v>
      </c>
      <c r="B15" s="2" t="s">
        <v>144</v>
      </c>
      <c r="C15" s="2" t="s">
        <v>146</v>
      </c>
      <c r="D15" s="7">
        <f>AVERAGEIF('Subcategory Scores'!$B:$B,"PR.IR",'Subcategory Scores'!$F:$F)</f>
        <v>2</v>
      </c>
      <c r="E15" s="2">
        <v>4.0</v>
      </c>
    </row>
    <row r="16">
      <c r="A16" s="2" t="s">
        <v>121</v>
      </c>
      <c r="B16" s="2" t="s">
        <v>154</v>
      </c>
      <c r="C16" s="2" t="s">
        <v>156</v>
      </c>
      <c r="D16" s="7">
        <f>AVERAGEIF('Subcategory Scores'!$B:$B,"DE.CM",'Subcategory Scores'!$F:$F)</f>
        <v>3</v>
      </c>
      <c r="E16" s="2">
        <v>5.0</v>
      </c>
    </row>
    <row r="17">
      <c r="A17" s="2" t="s">
        <v>121</v>
      </c>
      <c r="B17" s="2" t="s">
        <v>164</v>
      </c>
      <c r="C17" s="2" t="s">
        <v>165</v>
      </c>
      <c r="D17" s="7">
        <f>AVERAGEIF('Subcategory Scores'!$B:$B,"DE.AE",'Subcategory Scores'!$F:$F)</f>
        <v>3</v>
      </c>
      <c r="E17" s="2">
        <v>6.0</v>
      </c>
    </row>
    <row r="18">
      <c r="A18" s="2" t="s">
        <v>138</v>
      </c>
      <c r="B18" s="2" t="s">
        <v>170</v>
      </c>
      <c r="C18" s="2" t="s">
        <v>171</v>
      </c>
      <c r="D18" s="7">
        <f>AVERAGEIF('Subcategory Scores'!$B:$B,"RS.MA",'Subcategory Scores'!$F:$F)</f>
        <v>2</v>
      </c>
      <c r="E18" s="2">
        <v>5.0</v>
      </c>
    </row>
    <row r="19">
      <c r="A19" s="2" t="s">
        <v>138</v>
      </c>
      <c r="B19" s="2" t="s">
        <v>180</v>
      </c>
      <c r="C19" s="2" t="s">
        <v>181</v>
      </c>
      <c r="D19" s="7">
        <f>AVERAGEIF('Subcategory Scores'!$B:$B,"RS.AN",'Subcategory Scores'!$F:$F)</f>
        <v>2</v>
      </c>
      <c r="E19" s="2">
        <v>4.0</v>
      </c>
    </row>
    <row r="20">
      <c r="A20" s="2" t="s">
        <v>138</v>
      </c>
      <c r="B20" s="2" t="s">
        <v>191</v>
      </c>
      <c r="C20" s="2" t="s">
        <v>192</v>
      </c>
      <c r="D20" s="7">
        <f>AVERAGEIF('Subcategory Scores'!$B:$B,"RS.CO",'Subcategory Scores'!$F:$F)</f>
        <v>2</v>
      </c>
      <c r="E20" s="2">
        <v>2.0</v>
      </c>
    </row>
    <row r="21" ht="15.75" customHeight="1">
      <c r="A21" s="2" t="s">
        <v>138</v>
      </c>
      <c r="B21" s="2" t="s">
        <v>201</v>
      </c>
      <c r="C21" s="2" t="s">
        <v>203</v>
      </c>
      <c r="D21" s="7">
        <f>AVERAGEIF('Subcategory Scores'!$B:$B,"RS.MI",'Subcategory Scores'!$F:$F)</f>
        <v>2</v>
      </c>
      <c r="E21" s="2">
        <v>2.0</v>
      </c>
    </row>
    <row r="22" ht="15.75" customHeight="1">
      <c r="A22" s="2" t="s">
        <v>157</v>
      </c>
      <c r="B22" s="2" t="s">
        <v>211</v>
      </c>
      <c r="C22" s="2" t="s">
        <v>212</v>
      </c>
      <c r="D22" s="7">
        <f>AVERAGEIF('Subcategory Scores'!$B:$B,"RC.RP",'Subcategory Scores'!$F:$F)</f>
        <v>2</v>
      </c>
      <c r="E22" s="2">
        <v>6.0</v>
      </c>
    </row>
    <row r="23" ht="15.75" customHeight="1">
      <c r="A23" s="2" t="s">
        <v>157</v>
      </c>
      <c r="B23" s="2" t="s">
        <v>221</v>
      </c>
      <c r="C23" s="2" t="s">
        <v>222</v>
      </c>
      <c r="D23" s="7">
        <f>AVERAGEIF('Subcategory Scores'!$B:$B,"RC.CO",'Subcategory Scores'!$F:$F)</f>
        <v>2</v>
      </c>
      <c r="E23" s="2">
        <v>2.0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26.0"/>
    <col customWidth="1" min="4" max="4" width="20.0"/>
    <col customWidth="1" min="5" max="5" width="26.0"/>
    <col customWidth="1" min="6" max="26" width="8.71"/>
  </cols>
  <sheetData>
    <row r="1">
      <c r="A1" s="1" t="s">
        <v>1</v>
      </c>
      <c r="B1" s="1" t="s">
        <v>5</v>
      </c>
      <c r="C1" s="1" t="s">
        <v>6</v>
      </c>
      <c r="D1" s="1" t="s">
        <v>10</v>
      </c>
      <c r="E1" s="1" t="s">
        <v>14</v>
      </c>
    </row>
    <row r="2">
      <c r="A2" s="4" t="s">
        <v>8</v>
      </c>
      <c r="B2" s="6">
        <v>31.0</v>
      </c>
      <c r="C2" s="6">
        <f>AVERAGEIF('Subcategory Scores'!$A:$A,"Govern",'Subcategory Scores'!$F:$F)</f>
        <v>3</v>
      </c>
      <c r="D2" s="8">
        <v>3.0</v>
      </c>
      <c r="E2" s="4" t="str">
        <f t="shared" ref="E2:E8" si="1">IF(C2&gt;=4,"Tier 4 (Adaptive)",IF(C2&gt;=3,"Tier 3 (Repeatable)",IF(C2&gt;=2,"Tier 2 (Risk Informed)","Tier 1 (Partial)")))</f>
        <v>Tier 3 (Repeatable)</v>
      </c>
    </row>
    <row r="3">
      <c r="A3" s="4" t="s">
        <v>84</v>
      </c>
      <c r="B3" s="6">
        <v>21.0</v>
      </c>
      <c r="C3" s="6">
        <f>AVERAGEIF('Subcategory Scores'!$A:$A,"Identify",'Subcategory Scores'!$F:$F)</f>
        <v>2</v>
      </c>
      <c r="D3" s="8">
        <v>2.0</v>
      </c>
      <c r="E3" s="4" t="str">
        <f t="shared" si="1"/>
        <v>Tier 2 (Risk Informed)</v>
      </c>
    </row>
    <row r="4">
      <c r="A4" s="4" t="s">
        <v>104</v>
      </c>
      <c r="B4" s="6">
        <v>22.0</v>
      </c>
      <c r="C4" s="6">
        <f>AVERAGEIF('Subcategory Scores'!$A:$A,"Protect",'Subcategory Scores'!$F:$F)</f>
        <v>2</v>
      </c>
      <c r="D4" s="8">
        <v>2.0</v>
      </c>
      <c r="E4" s="4" t="str">
        <f t="shared" si="1"/>
        <v>Tier 2 (Risk Informed)</v>
      </c>
    </row>
    <row r="5">
      <c r="A5" s="4" t="s">
        <v>121</v>
      </c>
      <c r="B5" s="6">
        <v>11.0</v>
      </c>
      <c r="C5" s="6">
        <f>AVERAGEIF('Subcategory Scores'!$A:$A,"Detect",'Subcategory Scores'!$F:$F)</f>
        <v>3</v>
      </c>
      <c r="D5" s="8">
        <v>3.0</v>
      </c>
      <c r="E5" s="4" t="str">
        <f t="shared" si="1"/>
        <v>Tier 3 (Repeatable)</v>
      </c>
    </row>
    <row r="6">
      <c r="A6" s="4" t="s">
        <v>138</v>
      </c>
      <c r="B6" s="6">
        <v>13.0</v>
      </c>
      <c r="C6" s="6">
        <f>AVERAGEIF('Subcategory Scores'!$A:$A,"Respond",'Subcategory Scores'!$F:$F)</f>
        <v>2</v>
      </c>
      <c r="D6" s="8">
        <v>2.0</v>
      </c>
      <c r="E6" s="4" t="str">
        <f t="shared" si="1"/>
        <v>Tier 2 (Risk Informed)</v>
      </c>
    </row>
    <row r="7">
      <c r="A7" s="4" t="s">
        <v>157</v>
      </c>
      <c r="B7" s="6">
        <v>8.0</v>
      </c>
      <c r="C7" s="6">
        <f>AVERAGEIF('Subcategory Scores'!$A:$A,"Recover",'Subcategory Scores'!$F:$F)</f>
        <v>2</v>
      </c>
      <c r="D7" s="8">
        <v>2.0</v>
      </c>
      <c r="E7" s="4" t="str">
        <f t="shared" si="1"/>
        <v>Tier 2 (Risk Informed)</v>
      </c>
    </row>
    <row r="8">
      <c r="A8" s="13" t="s">
        <v>175</v>
      </c>
      <c r="B8" s="14">
        <f>SUM(B2:B7)</f>
        <v>106</v>
      </c>
      <c r="C8" s="13">
        <f t="shared" ref="C8:D8" si="2">AVERAGE(C2:C7)</f>
        <v>2.333333333</v>
      </c>
      <c r="D8" s="15">
        <f t="shared" si="2"/>
        <v>2.333333333</v>
      </c>
      <c r="E8" s="13" t="str">
        <f t="shared" si="1"/>
        <v>Tier 2 (Risk Informed)</v>
      </c>
    </row>
    <row r="10" ht="39.75" customHeight="1">
      <c r="A10" s="16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2026-08-15T00:55:49Z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